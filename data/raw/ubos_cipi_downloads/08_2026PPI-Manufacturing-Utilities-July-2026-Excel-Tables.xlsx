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plorer\DMES_PPI\PPI_M&amp;U\JUL_2026\"/>
    </mc:Choice>
  </mc:AlternateContent>
  <xr:revisionPtr revIDLastSave="0" documentId="13_ncr:1_{ABB36034-9707-48F1-BFF6-234063DCA382}" xr6:coauthVersionLast="47" xr6:coauthVersionMax="47" xr10:uidLastSave="{00000000-0000-0000-0000-000000000000}"/>
  <bookViews>
    <workbookView xWindow="-110" yWindow="-110" windowWidth="19420" windowHeight="11500" firstSheet="4" activeTab="5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23" i="6" l="1"/>
  <c r="E71" i="6"/>
  <c r="E54" i="5"/>
  <c r="E46" i="5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<sst xmlns="http://schemas.openxmlformats.org/spreadsheetml/2006/main" count="417" uniqueCount="137">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</sst>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  <numFmt numFmtId="170" formatCode="_(&quot;$&quot;* #,##0.00_);_(&quot;$&quot;* \(#,##0.00\);_(&quot;$&quot;* &quot;-&quot;??_);_(@_)"/>
    <numFmt numFmtId="171" formatCode="_-&quot;£&quot;* #,##0.00_-;\-&quot;£&quot;* #,##0.00_-;_-&quot;£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2"/>
      <name val="SWISS"/>
      <charset val="134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b/>
      <sz val="18"/>
      <color indexed="56"/>
      <name val="Cambria"/>
      <family val="2"/>
    </font>
  </fonts>
  <fills count="5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1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5" fillId="0" borderId="0"/>
    <xf numFmtId="0" fontId="14" fillId="0" borderId="0"/>
    <xf numFmtId="43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41" fontId="1" fillId="0" borderId="0" applyFont="0" applyFill="0" applyBorder="0" applyAlignment="0" applyProtection="0"/>
    <xf numFmtId="41" fontId="22" fillId="0" borderId="0">
      <alignment vertical="top"/>
      <protection locked="0"/>
    </xf>
    <xf numFmtId="41" fontId="22" fillId="0" borderId="0">
      <alignment vertical="top"/>
      <protection locked="0"/>
    </xf>
    <xf numFmtId="41" fontId="1" fillId="0" borderId="0" applyFont="0" applyFill="0" applyBorder="0" applyAlignment="0" applyProtection="0"/>
    <xf numFmtId="41" fontId="22" fillId="0" borderId="0">
      <alignment vertical="top"/>
      <protection locked="0"/>
    </xf>
    <xf numFmtId="41" fontId="22" fillId="0" borderId="0">
      <alignment vertical="top"/>
      <protection locked="0"/>
    </xf>
    <xf numFmtId="41" fontId="22" fillId="0" borderId="0">
      <alignment vertical="top"/>
      <protection locked="0"/>
    </xf>
    <xf numFmtId="41" fontId="22" fillId="0" borderId="0">
      <alignment vertical="top"/>
      <protection locked="0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7" borderId="0" applyNumberFormat="0" applyBorder="0" applyAlignment="0" applyProtection="0"/>
    <xf numFmtId="0" fontId="15" fillId="0" borderId="0"/>
    <xf numFmtId="0" fontId="32" fillId="0" borderId="0"/>
    <xf numFmtId="0" fontId="1" fillId="0" borderId="0"/>
    <xf numFmtId="0" fontId="15" fillId="0" borderId="0"/>
    <xf numFmtId="0" fontId="15" fillId="0" borderId="0"/>
    <xf numFmtId="0" fontId="32" fillId="0" borderId="0"/>
    <xf numFmtId="0" fontId="15" fillId="0" borderId="0"/>
    <xf numFmtId="0" fontId="16" fillId="0" borderId="0">
      <alignment vertical="center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34" fillId="0" borderId="0">
      <protection locked="0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28" borderId="3" applyNumberFormat="0" applyFon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>
      <alignment vertical="top"/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9" fontId="39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9" fillId="34" borderId="4" applyNumberFormat="0" applyAlignment="0" applyProtection="0"/>
    <xf numFmtId="0" fontId="30" fillId="0" borderId="9" applyNumberFormat="0" applyFill="0" applyAlignment="0" applyProtection="0"/>
    <xf numFmtId="0" fontId="31" fillId="49" borderId="0" applyNumberFormat="0" applyBorder="0" applyAlignment="0" applyProtection="0"/>
    <xf numFmtId="0" fontId="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39" fontId="39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5" fillId="0" borderId="0"/>
    <xf numFmtId="41" fontId="1" fillId="0" borderId="0" applyFont="0" applyFill="0" applyBorder="0" applyAlignment="0" applyProtection="0"/>
    <xf numFmtId="43" fontId="22" fillId="0" borderId="0">
      <alignment vertical="top"/>
      <protection locked="0"/>
    </xf>
    <xf numFmtId="0" fontId="16" fillId="0" borderId="0">
      <alignment vertical="center"/>
    </xf>
    <xf numFmtId="41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0" borderId="0"/>
    <xf numFmtId="0" fontId="34" fillId="0" borderId="0">
      <protection locked="0"/>
    </xf>
    <xf numFmtId="0" fontId="32" fillId="0" borderId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5" fillId="0" borderId="0">
      <alignment vertical="top"/>
      <protection locked="0"/>
    </xf>
    <xf numFmtId="0" fontId="36" fillId="0" borderId="0" applyNumberFormat="0" applyFill="0" applyBorder="0" applyAlignment="0" applyProtection="0"/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2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15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31" borderId="0" applyNumberFormat="0" applyBorder="0" applyAlignment="0" applyProtection="0"/>
    <xf numFmtId="0" fontId="29" fillId="34" borderId="4" applyNumberFormat="0" applyAlignment="0" applyProtection="0"/>
    <xf numFmtId="0" fontId="31" fillId="49" borderId="0" applyNumberFormat="0" applyBorder="0" applyAlignment="0" applyProtection="0"/>
    <xf numFmtId="0" fontId="1" fillId="0" borderId="0"/>
    <xf numFmtId="0" fontId="1" fillId="0" borderId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43" fontId="1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2" fillId="50" borderId="3" applyNumberFormat="0" applyFont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7" fillId="0" borderId="8" applyNumberFormat="0" applyFill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0" fontId="3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1" fillId="0" borderId="0"/>
    <xf numFmtId="0" fontId="15" fillId="0" borderId="0"/>
    <xf numFmtId="0" fontId="32" fillId="0" borderId="0"/>
    <xf numFmtId="0" fontId="15" fillId="0" borderId="0"/>
    <xf numFmtId="0" fontId="32" fillId="0" borderId="0"/>
    <xf numFmtId="0" fontId="32" fillId="0" borderId="0"/>
    <xf numFmtId="0" fontId="15" fillId="0" borderId="0"/>
    <xf numFmtId="0" fontId="15" fillId="0" borderId="0"/>
    <xf numFmtId="0" fontId="32" fillId="0" borderId="0"/>
    <xf numFmtId="0" fontId="1" fillId="0" borderId="0"/>
    <xf numFmtId="0" fontId="15" fillId="50" borderId="3" applyNumberFormat="0" applyFont="0" applyAlignment="0" applyProtection="0"/>
    <xf numFmtId="0" fontId="15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0" borderId="0">
      <alignment vertical="center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22" fillId="0" borderId="0">
      <alignment vertical="top"/>
      <protection locked="0"/>
    </xf>
    <xf numFmtId="0" fontId="34" fillId="0" borderId="0"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>
      <alignment vertical="top"/>
      <protection locked="0"/>
    </xf>
    <xf numFmtId="41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5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>
      <alignment vertical="top"/>
      <protection locked="0"/>
    </xf>
    <xf numFmtId="0" fontId="20" fillId="6" borderId="4" applyNumberFormat="0" applyAlignment="0" applyProtection="0"/>
    <xf numFmtId="43" fontId="15" fillId="0" borderId="0">
      <alignment vertical="top"/>
      <protection locked="0"/>
    </xf>
    <xf numFmtId="0" fontId="29" fillId="13" borderId="4" applyNumberForma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43" fontId="22" fillId="0" borderId="0">
      <alignment vertical="top"/>
      <protection locked="0"/>
    </xf>
    <xf numFmtId="43" fontId="22" fillId="0" borderId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164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164" fontId="3" fillId="4" borderId="0" xfId="1" applyFont="1" applyFill="1" applyAlignment="1">
      <alignment wrapText="1"/>
    </xf>
    <xf numFmtId="164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164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164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164" fontId="8" fillId="0" borderId="0" xfId="1" applyFont="1" applyFill="1" applyBorder="1" applyAlignment="1"/>
    <xf numFmtId="0" fontId="8" fillId="0" borderId="0" xfId="0" quotePrefix="1" applyFont="1"/>
    <xf numFmtId="164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164" fontId="8" fillId="0" borderId="0" xfId="1" applyFont="1" applyFill="1" applyAlignment="1"/>
    <xf numFmtId="164" fontId="4" fillId="5" borderId="0" xfId="0" applyNumberFormat="1" applyFont="1" applyFill="1"/>
    <xf numFmtId="0" fontId="4" fillId="0" borderId="0" xfId="0" quotePrefix="1" applyFont="1"/>
    <xf numFmtId="164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164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164" fontId="4" fillId="0" borderId="0" xfId="1" applyFont="1" applyAlignment="1"/>
    <xf numFmtId="168" fontId="4" fillId="5" borderId="0" xfId="3" applyNumberFormat="1" applyFont="1" applyFill="1"/>
    <xf numFmtId="164" fontId="4" fillId="5" borderId="0" xfId="1" applyFont="1" applyFill="1" applyAlignment="1"/>
    <xf numFmtId="164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164" fontId="4" fillId="2" borderId="2" xfId="1" applyFont="1" applyFill="1" applyBorder="1" applyAlignment="1">
      <alignment horizontal="left" wrapText="1"/>
    </xf>
    <xf numFmtId="164" fontId="3" fillId="4" borderId="2" xfId="1" applyFont="1" applyFill="1" applyBorder="1" applyAlignment="1">
      <alignment wrapText="1"/>
    </xf>
    <xf numFmtId="164" fontId="3" fillId="5" borderId="2" xfId="1" applyFont="1" applyFill="1" applyBorder="1" applyAlignment="1">
      <alignment wrapText="1"/>
    </xf>
    <xf numFmtId="164" fontId="7" fillId="0" borderId="2" xfId="1" applyFont="1" applyFill="1" applyBorder="1" applyAlignment="1">
      <alignment vertical="center" wrapText="1"/>
    </xf>
    <xf numFmtId="164" fontId="4" fillId="5" borderId="2" xfId="0" applyNumberFormat="1" applyFont="1" applyFill="1" applyBorder="1"/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164" fontId="3" fillId="0" borderId="2" xfId="1" applyFont="1" applyFill="1" applyBorder="1" applyAlignment="1">
      <alignment vertical="center" wrapText="1"/>
    </xf>
    <xf numFmtId="164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</cellXfs>
  <cellStyles count="1561">
    <cellStyle name="20% - Accent1 2" xfId="8" xr:uid="{B02BE2AD-7EC9-4421-9746-FF3D8C430036}"/>
    <cellStyle name="20% - Accent1 2 2" xfId="9" xr:uid="{28801EC0-DE99-41A2-9BFD-A6A3195DD43D}"/>
    <cellStyle name="20% - Accent1 2 2 2" xfId="410" xr:uid="{0F2BFBCF-1C8D-4B39-AEE6-6449955A3BFE}"/>
    <cellStyle name="20% - Accent1 2 2 3" xfId="774" xr:uid="{4B93FF79-2425-4C8A-B3E7-0C8227897176}"/>
    <cellStyle name="20% - Accent1 2 3" xfId="568" xr:uid="{8D468416-9D67-49F3-91F5-A6B6FDCFAE8A}"/>
    <cellStyle name="20% - Accent1 2 3 2" xfId="1026" xr:uid="{1971C4E3-9F2A-44DE-8260-55CD8EA8289F}"/>
    <cellStyle name="20% - Accent1 2 4" xfId="409" xr:uid="{BBA9BED8-BADD-4C17-9438-07AA94C796A1}"/>
    <cellStyle name="20% - Accent1 2 5" xfId="734" xr:uid="{114FDFF7-3CA5-4751-B610-5E17996E3341}"/>
    <cellStyle name="20% - Accent2 2" xfId="10" xr:uid="{728D2641-8335-4289-AA14-1A488A4EB363}"/>
    <cellStyle name="20% - Accent2 2 2" xfId="11" xr:uid="{21B831B2-9591-481D-938F-548918326511}"/>
    <cellStyle name="20% - Accent2 2 2 2" xfId="412" xr:uid="{A8369AAB-227B-4291-9086-032048C4E1FA}"/>
    <cellStyle name="20% - Accent2 2 2 3" xfId="775" xr:uid="{D3769C54-7614-4173-A721-74D9B011BBCD}"/>
    <cellStyle name="20% - Accent2 2 3" xfId="569" xr:uid="{BC16433D-494F-4963-8527-E1A6213A6E80}"/>
    <cellStyle name="20% - Accent2 2 3 2" xfId="1027" xr:uid="{ADDDCEDE-65DB-486E-809E-DE8118828204}"/>
    <cellStyle name="20% - Accent2 2 4" xfId="411" xr:uid="{742D18ED-D617-4E72-B401-6F2D9B2B05CF}"/>
    <cellStyle name="20% - Accent2 2 5" xfId="735" xr:uid="{4214568F-EA8E-4C5B-9224-82E27A2D57DA}"/>
    <cellStyle name="20% - Accent3 2" xfId="12" xr:uid="{57823DDF-01A7-48FE-A970-F01F459ED247}"/>
    <cellStyle name="20% - Accent3 2 2" xfId="13" xr:uid="{FA75F9B8-0315-4661-826A-8339D578F855}"/>
    <cellStyle name="20% - Accent3 2 2 2" xfId="414" xr:uid="{9842C3F4-BD7E-4941-A4A0-DA4D38A3C6E7}"/>
    <cellStyle name="20% - Accent3 2 2 3" xfId="776" xr:uid="{F24F2250-BDDB-4DB8-B076-9B034487DC98}"/>
    <cellStyle name="20% - Accent3 2 3" xfId="570" xr:uid="{7734E29B-4572-4441-BBBA-813FF6FFAA51}"/>
    <cellStyle name="20% - Accent3 2 3 2" xfId="1028" xr:uid="{74B2FDC8-4115-42BD-8983-34948B834C65}"/>
    <cellStyle name="20% - Accent3 2 4" xfId="413" xr:uid="{EA34284D-3410-4B24-AD5F-A08B62D2BBD8}"/>
    <cellStyle name="20% - Accent3 2 5" xfId="736" xr:uid="{5BB751FB-5FAE-48B4-8F3D-C70590ED70D1}"/>
    <cellStyle name="20% - Accent4 2" xfId="14" xr:uid="{961F7A65-BE45-4AAF-AA92-A10B693CBB26}"/>
    <cellStyle name="20% - Accent4 2 2" xfId="15" xr:uid="{68746519-980C-4A03-9B26-E3BA102BCBC0}"/>
    <cellStyle name="20% - Accent4 2 2 2" xfId="416" xr:uid="{B7AC0803-7A41-45D4-8C90-518DF67B1507}"/>
    <cellStyle name="20% - Accent4 2 2 3" xfId="777" xr:uid="{DF84B9B9-58CA-48FA-8C16-BF3374C5123A}"/>
    <cellStyle name="20% - Accent4 2 3" xfId="571" xr:uid="{960B86AA-ED0C-4586-8C39-3192E3086715}"/>
    <cellStyle name="20% - Accent4 2 3 2" xfId="1029" xr:uid="{B69BA8F3-1EDC-4D3E-9EED-6F31950C5D1D}"/>
    <cellStyle name="20% - Accent4 2 4" xfId="415" xr:uid="{EF991E53-D26D-4F9B-9FF3-EFBBDE4F4A9C}"/>
    <cellStyle name="20% - Accent4 2 5" xfId="737" xr:uid="{4B8ADC2F-4701-4693-AFB8-C27F3F219A10}"/>
    <cellStyle name="20% - Accent5 2" xfId="16" xr:uid="{815EA1EB-2FF8-4466-BEDA-55467DF0DEAB}"/>
    <cellStyle name="20% - Accent5 2 2" xfId="17" xr:uid="{7583E0B0-B1C7-4D6A-B61D-EB82476290BD}"/>
    <cellStyle name="20% - Accent5 2 2 2" xfId="418" xr:uid="{E31CBCED-1DB9-4A5D-9330-2D90DA9D343A}"/>
    <cellStyle name="20% - Accent5 2 2 3" xfId="778" xr:uid="{E4006AEA-1FB4-4094-9CBF-575FC04EFCE5}"/>
    <cellStyle name="20% - Accent5 2 3" xfId="572" xr:uid="{5367C9B9-A70F-439F-B2B5-50C04FDA495F}"/>
    <cellStyle name="20% - Accent5 2 3 2" xfId="1030" xr:uid="{0DA6A75F-3B44-4B29-8B33-B45BA337EF88}"/>
    <cellStyle name="20% - Accent5 2 4" xfId="417" xr:uid="{AB69086B-3716-4EA4-A82E-A949978BC8A6}"/>
    <cellStyle name="20% - Accent5 2 5" xfId="738" xr:uid="{8330E3C1-3D2E-4527-A7A3-BCFEED81B612}"/>
    <cellStyle name="20% - Accent6 2" xfId="18" xr:uid="{47079481-3836-4A07-A6F3-1A2716D5BD5C}"/>
    <cellStyle name="20% - Accent6 2 2" xfId="19" xr:uid="{249C18C2-B0E4-44D1-A8C8-8C2EDD7E3F03}"/>
    <cellStyle name="20% - Accent6 2 2 2" xfId="420" xr:uid="{FE16A69C-AFF4-4BBB-BB16-4D4341EE9FC9}"/>
    <cellStyle name="20% - Accent6 2 2 3" xfId="779" xr:uid="{1C0F2C78-F7C8-4B11-899E-91A2F489E385}"/>
    <cellStyle name="20% - Accent6 2 3" xfId="573" xr:uid="{F52E9DC9-59E8-4F84-9E4D-3A40771E3050}"/>
    <cellStyle name="20% - Accent6 2 3 2" xfId="1031" xr:uid="{2E71A526-277F-41AF-9A0D-FDFF2023DAAB}"/>
    <cellStyle name="20% - Accent6 2 4" xfId="419" xr:uid="{8AC672C0-1023-4F4E-9B0F-44FB816B8612}"/>
    <cellStyle name="20% - Accent6 2 5" xfId="739" xr:uid="{2596CAA1-1F2F-4F5E-9B7D-5B39295C59A3}"/>
    <cellStyle name="40% - Accent1 2" xfId="20" xr:uid="{A84DFD76-3E50-4210-A6B6-330C3A2F77C0}"/>
    <cellStyle name="40% - Accent1 2 2" xfId="21" xr:uid="{DA84D88E-7DAA-400B-B7DF-5BF56C43A268}"/>
    <cellStyle name="40% - Accent1 2 2 2" xfId="422" xr:uid="{0B49110C-09A6-4E0B-B782-35F249929390}"/>
    <cellStyle name="40% - Accent1 2 2 3" xfId="780" xr:uid="{BAC0F40A-8746-4D19-ADB4-CABA1854FCA5}"/>
    <cellStyle name="40% - Accent1 2 3" xfId="574" xr:uid="{674C4148-6D74-4B21-8B28-B3B42B1B9C4A}"/>
    <cellStyle name="40% - Accent1 2 3 2" xfId="1032" xr:uid="{2C2E1665-9A6C-43A5-BA50-E2DE0604590E}"/>
    <cellStyle name="40% - Accent1 2 4" xfId="421" xr:uid="{5EC54F05-FA94-431C-83D7-EEB625B13EBA}"/>
    <cellStyle name="40% - Accent1 2 5" xfId="740" xr:uid="{AECE21AF-3DB2-4699-9912-9D558F61943A}"/>
    <cellStyle name="40% - Accent2 2" xfId="22" xr:uid="{9A857770-1969-469A-9509-05A198C2BF3F}"/>
    <cellStyle name="40% - Accent2 2 2" xfId="23" xr:uid="{81389ABA-A2B5-49C8-8F60-88963635C4C8}"/>
    <cellStyle name="40% - Accent2 2 2 2" xfId="424" xr:uid="{BEA59316-50CE-44F3-B404-46B633293BA7}"/>
    <cellStyle name="40% - Accent2 2 2 3" xfId="781" xr:uid="{3DA89B75-95FC-4F01-94E0-5FECA177EE99}"/>
    <cellStyle name="40% - Accent2 2 3" xfId="575" xr:uid="{E29B58FF-6089-4F4E-829B-0754A46C9E27}"/>
    <cellStyle name="40% - Accent2 2 3 2" xfId="1033" xr:uid="{5E55D9D8-C959-4E16-BBA9-C82848F21C5B}"/>
    <cellStyle name="40% - Accent2 2 4" xfId="423" xr:uid="{84172A4A-3135-4827-BF8B-F3D3FD36C1E3}"/>
    <cellStyle name="40% - Accent2 2 5" xfId="741" xr:uid="{D8DFA428-EB25-4592-86DF-95A9515145C1}"/>
    <cellStyle name="40% - Accent3 2" xfId="24" xr:uid="{03DDD81E-91A0-41A4-BF3D-768096C64B5C}"/>
    <cellStyle name="40% - Accent3 2 2" xfId="25" xr:uid="{785874EE-F60E-432C-ABFC-DF01818D05D3}"/>
    <cellStyle name="40% - Accent3 2 2 2" xfId="426" xr:uid="{C3B14497-5977-436E-B01C-5290D9435487}"/>
    <cellStyle name="40% - Accent3 2 2 3" xfId="782" xr:uid="{9073F5AA-B802-470D-A56D-B58CED4985C2}"/>
    <cellStyle name="40% - Accent3 2 3" xfId="576" xr:uid="{C6865CDF-1C95-45D2-B133-8F0CA7278FA0}"/>
    <cellStyle name="40% - Accent3 2 3 2" xfId="1034" xr:uid="{13FC17C0-AB98-4D57-9EE1-8C26ECC3FE74}"/>
    <cellStyle name="40% - Accent3 2 4" xfId="425" xr:uid="{21C4C6CD-8C1C-4886-8275-78075C617397}"/>
    <cellStyle name="40% - Accent3 2 5" xfId="742" xr:uid="{7B9C5956-FFC2-47A3-BB30-05B1152D8ECC}"/>
    <cellStyle name="40% - Accent4 2" xfId="26" xr:uid="{BE0A35A9-D66C-4FEF-8DFB-49900C538503}"/>
    <cellStyle name="40% - Accent4 2 2" xfId="27" xr:uid="{CD43288F-BC5F-482F-8808-4B2C912CB676}"/>
    <cellStyle name="40% - Accent4 2 2 2" xfId="428" xr:uid="{09958CB3-C077-4AFE-8763-9F409797ACDD}"/>
    <cellStyle name="40% - Accent4 2 2 3" xfId="783" xr:uid="{F90A57BE-F567-48D4-8E8F-95047F4F2A03}"/>
    <cellStyle name="40% - Accent4 2 3" xfId="577" xr:uid="{8A4BEA04-0BDA-4E1B-A1C9-6A25FBAD01BC}"/>
    <cellStyle name="40% - Accent4 2 3 2" xfId="1035" xr:uid="{9B000FA7-4C59-49A9-AA15-30186694E260}"/>
    <cellStyle name="40% - Accent4 2 4" xfId="427" xr:uid="{2A4D0C6A-DD2D-40C9-B3EB-1B59BDFF3FE4}"/>
    <cellStyle name="40% - Accent4 2 5" xfId="743" xr:uid="{0D657F95-9E72-4438-B826-93A2E74BF816}"/>
    <cellStyle name="40% - Accent5 2" xfId="28" xr:uid="{2B2A622F-564E-48C6-9195-0A8E855ACE83}"/>
    <cellStyle name="40% - Accent5 2 2" xfId="29" xr:uid="{1A6515C2-994F-4FFF-9F91-C42B6347218F}"/>
    <cellStyle name="40% - Accent5 2 2 2" xfId="430" xr:uid="{8ABBA89D-DCF4-4E28-9DB6-B2DDCF165A67}"/>
    <cellStyle name="40% - Accent5 2 2 3" xfId="784" xr:uid="{16B6C19F-9448-4A08-B998-0AC7F122227C}"/>
    <cellStyle name="40% - Accent5 2 3" xfId="578" xr:uid="{A445DEC1-B79D-4084-A434-37E516682B94}"/>
    <cellStyle name="40% - Accent5 2 3 2" xfId="1036" xr:uid="{890716E1-2DB0-4784-87DF-EAD1863DCC84}"/>
    <cellStyle name="40% - Accent5 2 4" xfId="429" xr:uid="{13FADF70-2B6D-4F60-9411-5E916CDC4075}"/>
    <cellStyle name="40% - Accent5 2 5" xfId="744" xr:uid="{3474BEC0-24FF-4093-A9A5-2CADAA529410}"/>
    <cellStyle name="40% - Accent6 2" xfId="30" xr:uid="{3D90D9C7-363C-4DE0-AA1A-939AB048D483}"/>
    <cellStyle name="40% - Accent6 2 2" xfId="31" xr:uid="{A33F32C2-EECE-442C-BEEA-6AEFA679BB4F}"/>
    <cellStyle name="40% - Accent6 2 2 2" xfId="432" xr:uid="{89A292AD-0BDB-4010-BE11-8CC9D16A65F9}"/>
    <cellStyle name="40% - Accent6 2 2 3" xfId="785" xr:uid="{95D9A3B1-1EA3-489A-8B35-B7E3FA1B4AD0}"/>
    <cellStyle name="40% - Accent6 2 3" xfId="579" xr:uid="{3E43CBF9-828E-4F8B-8F73-20CC14101272}"/>
    <cellStyle name="40% - Accent6 2 3 2" xfId="1037" xr:uid="{25207298-6E70-40BE-82D3-F1AC6BC657BC}"/>
    <cellStyle name="40% - Accent6 2 4" xfId="431" xr:uid="{587AD21F-0F20-4935-B7E9-C79216892952}"/>
    <cellStyle name="40% - Accent6 2 5" xfId="745" xr:uid="{5EF3102B-1C88-425B-A34D-FE1C8951C67C}"/>
    <cellStyle name="60% - Accent1 2" xfId="32" xr:uid="{89914366-6895-4E9E-8830-A2619314FD6D}"/>
    <cellStyle name="60% - Accent1 2 2" xfId="580" xr:uid="{B410CB74-7EE8-46F0-9494-911F25D9622E}"/>
    <cellStyle name="60% - Accent1 2 2 2" xfId="1038" xr:uid="{9AE8393B-5F91-40C0-B180-899B4571439F}"/>
    <cellStyle name="60% - Accent1 2 3" xfId="433" xr:uid="{C0C442C2-9C4E-416D-80B0-E887467DF0AD}"/>
    <cellStyle name="60% - Accent1 2 4" xfId="746" xr:uid="{BEA5B9E4-9B1A-475B-88CB-F1322C87018E}"/>
    <cellStyle name="60% - Accent2 2" xfId="33" xr:uid="{AD045450-DAA9-45C9-A3EA-F4386D01B710}"/>
    <cellStyle name="60% - Accent2 2 2" xfId="581" xr:uid="{C05CFB22-EB5C-450B-8462-9B5784EACF76}"/>
    <cellStyle name="60% - Accent2 2 2 2" xfId="1039" xr:uid="{3AC48437-06A3-4D43-B982-CA02E27AEA77}"/>
    <cellStyle name="60% - Accent2 2 3" xfId="434" xr:uid="{DAD443F5-BA88-4A7E-9D22-34493BB18516}"/>
    <cellStyle name="60% - Accent2 2 4" xfId="747" xr:uid="{CE7184BF-F67E-482B-9D13-5F242EB89F12}"/>
    <cellStyle name="60% - Accent3 2" xfId="34" xr:uid="{E5F856F2-A01B-4A30-B32F-E6349738C325}"/>
    <cellStyle name="60% - Accent3 2 2" xfId="582" xr:uid="{DE808353-917F-4E6C-BAE6-4F69DB7BFCB0}"/>
    <cellStyle name="60% - Accent3 2 2 2" xfId="1040" xr:uid="{65BEF155-A894-4CF4-9BE0-D75E2EF57057}"/>
    <cellStyle name="60% - Accent3 2 3" xfId="435" xr:uid="{5BDF5BB7-FF24-4AC6-8673-C74692883585}"/>
    <cellStyle name="60% - Accent3 2 4" xfId="748" xr:uid="{D911B434-9EEF-4A62-942E-978D3CB9DB73}"/>
    <cellStyle name="60% - Accent4 2" xfId="35" xr:uid="{ABD52705-0575-4401-8110-B86706DC866F}"/>
    <cellStyle name="60% - Accent4 2 2" xfId="583" xr:uid="{FDD4F2BE-422A-469A-866B-AE39357B920D}"/>
    <cellStyle name="60% - Accent4 2 2 2" xfId="1041" xr:uid="{D2890A60-657E-49C4-9AC9-E74B29471680}"/>
    <cellStyle name="60% - Accent4 2 3" xfId="436" xr:uid="{801DA942-C3A7-422C-BAC1-236CB804EDFA}"/>
    <cellStyle name="60% - Accent4 2 4" xfId="749" xr:uid="{76EA4422-3C87-45DD-A50E-B0E481F40EBA}"/>
    <cellStyle name="60% - Accent5 2" xfId="36" xr:uid="{FABA15C5-CF43-4459-BFF3-1256D06C0699}"/>
    <cellStyle name="60% - Accent5 2 2" xfId="584" xr:uid="{B80A4BE8-472C-40DD-ACC6-560993D5A83D}"/>
    <cellStyle name="60% - Accent5 2 2 2" xfId="1042" xr:uid="{8E5EDCCD-B21E-48B7-BA91-CCE84F242ED6}"/>
    <cellStyle name="60% - Accent5 2 3" xfId="437" xr:uid="{E8253797-05FC-46C1-8C4E-B1D48B48DA7A}"/>
    <cellStyle name="60% - Accent5 2 4" xfId="750" xr:uid="{90DED5D3-781C-4CA3-9485-99EB59ECAEC5}"/>
    <cellStyle name="60% - Accent6 2" xfId="37" xr:uid="{5203C762-7550-4E0F-AC2E-67F0939E6D65}"/>
    <cellStyle name="60% - Accent6 2 2" xfId="585" xr:uid="{5A47D7BE-0BAC-4C86-B57D-F637697BB388}"/>
    <cellStyle name="60% - Accent6 2 2 2" xfId="1043" xr:uid="{0ADD101A-84F8-4874-B302-0BF30DE9FF52}"/>
    <cellStyle name="60% - Accent6 2 3" xfId="438" xr:uid="{96F7E84D-7697-49A7-A0F1-6BCF5A164007}"/>
    <cellStyle name="60% - Accent6 2 4" xfId="751" xr:uid="{6105C0C7-0124-42B1-89DF-70F1E91ECF43}"/>
    <cellStyle name="Accent1 2" xfId="38" xr:uid="{D1789D25-F268-4B35-B951-3DEE9627E999}"/>
    <cellStyle name="Accent1 2 2" xfId="586" xr:uid="{43B93749-5D14-4871-B86A-1C60CF5D37DC}"/>
    <cellStyle name="Accent1 2 2 2" xfId="1044" xr:uid="{22ED6E05-A8CF-4EA3-8D99-40F993A251F7}"/>
    <cellStyle name="Accent1 2 3" xfId="439" xr:uid="{A58B85BA-8E1E-4BA7-B7B4-B9E1A20C0577}"/>
    <cellStyle name="Accent1 2 4" xfId="752" xr:uid="{2DBBEDAD-CF02-4A0B-9E85-2AA538E75423}"/>
    <cellStyle name="Accent2 2" xfId="39" xr:uid="{594FDBFC-BC8E-4D46-9CAB-1B704E20C64C}"/>
    <cellStyle name="Accent2 2 2" xfId="587" xr:uid="{AF802526-A2CE-468A-BD55-E461C451DA3E}"/>
    <cellStyle name="Accent2 2 2 2" xfId="1045" xr:uid="{C01B1407-19D2-42DB-9595-F4C8BA23E816}"/>
    <cellStyle name="Accent2 2 3" xfId="440" xr:uid="{3CD93B6E-C166-495F-BA8A-6C6A869E0620}"/>
    <cellStyle name="Accent2 2 4" xfId="753" xr:uid="{5592884C-321C-4603-920D-954ADCA78523}"/>
    <cellStyle name="Accent3 2" xfId="40" xr:uid="{73E29C67-95ED-471E-9099-060AC5393182}"/>
    <cellStyle name="Accent3 2 2" xfId="588" xr:uid="{B23ECED7-3847-427F-8024-62B99109FAFE}"/>
    <cellStyle name="Accent3 2 2 2" xfId="1046" xr:uid="{2CCE4BA4-10FC-4783-AF40-9E1E64425081}"/>
    <cellStyle name="Accent3 2 3" xfId="441" xr:uid="{D43ED0AB-EF11-4844-90B2-C120889533A5}"/>
    <cellStyle name="Accent3 2 4" xfId="754" xr:uid="{E5CDF25F-633F-4DA2-95E5-33C2E6F739B5}"/>
    <cellStyle name="Accent4 2" xfId="41" xr:uid="{E76E0B7A-CB8E-4EBA-9FF9-E10FC963FFB4}"/>
    <cellStyle name="Accent4 2 2" xfId="589" xr:uid="{1A0DB400-B8E1-487E-9988-B1437CA7162C}"/>
    <cellStyle name="Accent4 2 2 2" xfId="1047" xr:uid="{5D086CBF-118A-4BBF-B93F-3D7D4675C251}"/>
    <cellStyle name="Accent4 2 3" xfId="442" xr:uid="{9952852D-D180-4D91-A2F8-DC843290A2D0}"/>
    <cellStyle name="Accent4 2 4" xfId="755" xr:uid="{64FDBBC2-630B-48E8-8B72-09D0F02B9830}"/>
    <cellStyle name="Accent5 2" xfId="42" xr:uid="{31B85CAF-9BF4-4B2D-AED5-D1EA66C685F4}"/>
    <cellStyle name="Accent5 2 2" xfId="590" xr:uid="{911CB0E0-82A9-41F6-8A7D-ACA90EA2ACA7}"/>
    <cellStyle name="Accent5 2 2 2" xfId="1048" xr:uid="{07FAD383-62DC-4178-8A9A-61336EAEF068}"/>
    <cellStyle name="Accent5 2 3" xfId="443" xr:uid="{984338CF-2659-40D5-A730-BE031CCE27F3}"/>
    <cellStyle name="Accent5 2 4" xfId="756" xr:uid="{053DBD45-528E-4724-BF38-7A3A7BF9989A}"/>
    <cellStyle name="Accent6 2" xfId="43" xr:uid="{A2C04EF4-FAE5-4850-8AA4-155A9B57B0E2}"/>
    <cellStyle name="Accent6 2 2" xfId="591" xr:uid="{76CA0612-ACCE-4634-8F55-7824FE3AD54B}"/>
    <cellStyle name="Accent6 2 2 2" xfId="1049" xr:uid="{8ADF5DD8-771B-4C3F-B4A2-314D4CF2A0E9}"/>
    <cellStyle name="Accent6 2 3" xfId="444" xr:uid="{C352E40A-FCEE-4B99-ABD1-7B87C89ED20B}"/>
    <cellStyle name="Accent6 2 4" xfId="757" xr:uid="{C95ECC83-62C5-4B66-A188-54AB2BAD9BFB}"/>
    <cellStyle name="Accent6 3" xfId="7" xr:uid="{504C7672-46AA-4399-B2A9-5344B4FD3B8F}"/>
    <cellStyle name="Bad 2" xfId="44" xr:uid="{7438E429-170A-469E-8D27-1851446ED8A5}"/>
    <cellStyle name="Bad 2 2" xfId="592" xr:uid="{B0B25CC9-D85C-4C90-B9CC-EA8172AA974B}"/>
    <cellStyle name="Bad 2 2 2" xfId="1050" xr:uid="{A5A4E4FB-2527-4044-A4E7-70117C0AB42A}"/>
    <cellStyle name="Bad 2 3" xfId="445" xr:uid="{533FED12-28BE-4D68-8269-E2DF1347ECCA}"/>
    <cellStyle name="Bad 2 4" xfId="758" xr:uid="{4BC21B0D-3CC8-4808-B271-99251EC2A599}"/>
    <cellStyle name="Calculation 2" xfId="45" xr:uid="{51144507-9584-4104-BDAE-918A46CED319}"/>
    <cellStyle name="Calculation 2 2" xfId="593" xr:uid="{AD32E852-6F82-42CD-A4FB-D601A2278509}"/>
    <cellStyle name="Calculation 2 2 2" xfId="1051" xr:uid="{64F9392D-4A7D-4AF6-B5C1-955C7F4838B5}"/>
    <cellStyle name="Calculation 2 2 2 2" xfId="1065" xr:uid="{C662B9DD-3E0D-4504-BF77-510AD2535203}"/>
    <cellStyle name="Calculation 2 2 3" xfId="1064" xr:uid="{E8C185BB-0643-463B-BB50-7C697C67FB2A}"/>
    <cellStyle name="Calculation 2 3" xfId="446" xr:uid="{477FCCA7-263E-4FE4-AE7B-4DB2955741C8}"/>
    <cellStyle name="Calculation 2 3 2" xfId="1066" xr:uid="{EAF6813F-0D76-4DE1-9D2A-725AABDCF657}"/>
    <cellStyle name="Calculation 2 4" xfId="759" xr:uid="{319523BB-564B-44B4-8370-0A147A49EF3F}"/>
    <cellStyle name="Calculation 2 4 2" xfId="1538" xr:uid="{E41C8ED0-DE7D-4A0E-AFA5-B7149005F6B0}"/>
    <cellStyle name="Calculation 3" xfId="1067" xr:uid="{A13A38DE-A95B-4877-BB93-C481CC828982}"/>
    <cellStyle name="Calculation 3 2" xfId="1068" xr:uid="{A92D3561-8F1B-49D2-A4A9-B49BDC330BBE}"/>
    <cellStyle name="Check Cell 2" xfId="46" xr:uid="{876DE076-F068-4FBB-809B-5036D9014E66}"/>
    <cellStyle name="Check Cell 2 2" xfId="594" xr:uid="{651B06CE-35ED-4FAE-B0E3-544BE88FBD41}"/>
    <cellStyle name="Check Cell 2 2 2" xfId="1052" xr:uid="{8B01D82F-5F47-4204-ACFB-CB42C3A6AACF}"/>
    <cellStyle name="Check Cell 2 3" xfId="447" xr:uid="{F051E140-5411-4561-9503-1BFEB0C5E1DA}"/>
    <cellStyle name="Check Cell 2 4" xfId="760" xr:uid="{17830BC9-B550-43CD-A2A5-92B4B874746E}"/>
    <cellStyle name="Comma" xfId="1" builtinId="3"/>
    <cellStyle name="Comma [0]" xfId="3" builtinId="6"/>
    <cellStyle name="Comma [0] 10" xfId="1070" xr:uid="{B22ABF91-85BC-4181-87A3-DD858952A2FB}"/>
    <cellStyle name="Comma [0] 2" xfId="47" xr:uid="{3EE90688-BB74-44A1-9C6E-8A22BEDDFD05}"/>
    <cellStyle name="Comma [0] 2 2" xfId="48" xr:uid="{2B66CB41-0F81-4EDB-BF4E-27827342B062}"/>
    <cellStyle name="Comma [0] 2 2 2" xfId="986" xr:uid="{90ABD547-19D7-46BA-8B55-E76398B7E1BA}"/>
    <cellStyle name="Comma [0] 2 2 2 2" xfId="1497" xr:uid="{0C66F706-7CCC-4B14-89CD-B25AC481D5CD}"/>
    <cellStyle name="Comma [0] 2 2 3" xfId="1283" xr:uid="{5FDF48EF-BC72-49DC-8D81-A76240B88ADC}"/>
    <cellStyle name="Comma [0] 2 3" xfId="49" xr:uid="{45B6540F-6EFA-456A-A471-FB75F8469A46}"/>
    <cellStyle name="Comma [0] 2 3 2" xfId="1366" xr:uid="{8451BFBA-4D59-4897-A25E-EC5463A0F2DD}"/>
    <cellStyle name="Comma [0] 2 4" xfId="567" xr:uid="{4D0B70B1-F785-4990-BAF1-2F07542153F7}"/>
    <cellStyle name="Comma [0] 2 5" xfId="700" xr:uid="{0A2604F2-C072-4C00-9CAA-FEBC9D13A498}"/>
    <cellStyle name="Comma [0] 2 6" xfId="855" xr:uid="{E514A44A-1BA2-48EA-B407-E82A045D17DE}"/>
    <cellStyle name="Comma [0] 2 7" xfId="1188" xr:uid="{36D1940E-AB2C-4094-A162-DF94CE951325}"/>
    <cellStyle name="Comma [0] 3" xfId="50" xr:uid="{7E678E1B-1CF0-487F-BB90-F5133DC809A0}"/>
    <cellStyle name="Comma [0] 3 2" xfId="51" xr:uid="{816E11FF-CD01-4125-B3DD-749D43D1FDE9}"/>
    <cellStyle name="Comma [0] 3 2 2" xfId="995" xr:uid="{9DF97F22-A2D3-49CD-9C93-0B19413A2F7E}"/>
    <cellStyle name="Comma [0] 3 2 3" xfId="1506" xr:uid="{A8641718-18EB-42A5-80E4-C5B65893F20F}"/>
    <cellStyle name="Comma [0] 3 3" xfId="52" xr:uid="{59A61D5D-07EE-415D-98D0-4299B5B8C021}"/>
    <cellStyle name="Comma [0] 3 3 2" xfId="1375" xr:uid="{E0ED9448-14DE-449E-9ADD-8E16A3F420CA}"/>
    <cellStyle name="Comma [0] 3 4" xfId="864" xr:uid="{DB89FCEE-56A8-4CC0-8D7A-0AEC90520773}"/>
    <cellStyle name="Comma [0] 3 5" xfId="1284" xr:uid="{9D316F98-A7BD-4C86-88B8-E587F65051AA}"/>
    <cellStyle name="Comma [0] 4" xfId="53" xr:uid="{BF8A97E5-4D02-469E-88A3-69BA9F6804A3}"/>
    <cellStyle name="Comma [0] 4 2" xfId="54" xr:uid="{8CCA39F9-9B32-4B5E-B787-7C36DA9A028C}"/>
    <cellStyle name="Comma [0] 4 2 2" xfId="1004" xr:uid="{CA6C936A-CC80-4D17-BE75-F160846F0CDB}"/>
    <cellStyle name="Comma [0] 4 2 3" xfId="1515" xr:uid="{C04C8B32-8277-4B06-894F-B05F86662842}"/>
    <cellStyle name="Comma [0] 4 3" xfId="873" xr:uid="{3BEA9C88-2091-4981-9027-6956AC948836}"/>
    <cellStyle name="Comma [0] 4 3 2" xfId="1384" xr:uid="{CE041F01-0CBB-44FD-B365-26F47043DBEB}"/>
    <cellStyle name="Comma [0] 4 4" xfId="1281" xr:uid="{D485D3C0-A9E8-4671-86CA-E59DE7B903C5}"/>
    <cellStyle name="Comma [0] 5" xfId="55" xr:uid="{9ACD55C8-BB95-41D6-9A3C-F77C5387A99E}"/>
    <cellStyle name="Comma [0] 5 2" xfId="886" xr:uid="{38C4A3BD-A552-4402-B3D4-66A1650D3797}"/>
    <cellStyle name="Comma [0] 5 3" xfId="1397" xr:uid="{4C9AC6ED-2E4D-42A3-B296-FF8F5DA4215F}"/>
    <cellStyle name="Comma [0] 6" xfId="56" xr:uid="{10DCA08E-860B-46DB-A260-0814F44E0C45}"/>
    <cellStyle name="Comma [0] 6 2" xfId="981" xr:uid="{13B00CA6-CB6F-4183-8D47-70E15DA9A793}"/>
    <cellStyle name="Comma [0] 6 3" xfId="1492" xr:uid="{29EFED1B-094E-4AAB-8F5D-7EB393B6BE1A}"/>
    <cellStyle name="Comma [0] 7" xfId="564" xr:uid="{D30B57D4-C716-4A6A-A3D9-25DFB2E8A588}"/>
    <cellStyle name="Comma [0] 7 2" xfId="1359" xr:uid="{20ACF659-9EC4-470D-9B29-4DCC42BD8490}"/>
    <cellStyle name="Comma [0] 8" xfId="698" xr:uid="{6F15EFB5-06AC-43F1-AB75-2E9EC1314FFD}"/>
    <cellStyle name="Comma [0] 9" xfId="850" xr:uid="{8E23BA2B-5E3C-41F6-A7FC-3720262A0A19}"/>
    <cellStyle name="Comma 10" xfId="57" xr:uid="{5FB2A3F3-313F-4E2C-A18E-2083774F8B76}"/>
    <cellStyle name="Comma 10 2" xfId="58" xr:uid="{71E2DDDC-5C03-408D-9531-97CCB4157153}"/>
    <cellStyle name="Comma 10 2 2" xfId="59" xr:uid="{536C54AE-8311-40E7-8293-28AF9B09E6E0}"/>
    <cellStyle name="Comma 10 2 2 2" xfId="1398" xr:uid="{45D91859-7AF0-489F-9E30-5C2520692402}"/>
    <cellStyle name="Comma 10 2 3" xfId="887" xr:uid="{CB378971-5DAD-4054-99A0-00B6F4890C43}"/>
    <cellStyle name="Comma 10 2 4" xfId="1189" xr:uid="{28EC21C5-4EE2-4AAE-A626-6B90A509ABF0}"/>
    <cellStyle name="Comma 10 3" xfId="60" xr:uid="{6B747ECE-9EB1-43B0-AD23-9E7C75163F4F}"/>
    <cellStyle name="Comma 10 3 2" xfId="1280" xr:uid="{C9523798-5734-4153-8FE5-F04E910D7328}"/>
    <cellStyle name="Comma 10 4" xfId="448" xr:uid="{A45C31B7-1864-4BB6-B2D2-61ECF44D0AC7}"/>
    <cellStyle name="Comma 10 4 2" xfId="1289" xr:uid="{4193E505-4269-41F8-8174-0A633004C36D}"/>
    <cellStyle name="Comma 10 5" xfId="617" xr:uid="{D345BE61-710B-4D95-96AC-F6DE99E40245}"/>
    <cellStyle name="Comma 10 6" xfId="761" xr:uid="{060349B0-69EF-4AFC-A791-91B9FC36CECD}"/>
    <cellStyle name="Comma 10 7" xfId="1071" xr:uid="{37A5CB13-0065-4B0E-8AE6-D233FD80877C}"/>
    <cellStyle name="Comma 11" xfId="61" xr:uid="{BBD52D20-23FB-4ECB-853D-69227AC82174}"/>
    <cellStyle name="Comma 11 2" xfId="62" xr:uid="{4777AE32-85AA-40F1-8F19-5A56B61A5DAC}"/>
    <cellStyle name="Comma 11 2 2" xfId="63" xr:uid="{032BE50F-2D80-45E7-B1B3-A4FFC8B2AAC9}"/>
    <cellStyle name="Comma 11 2 2 2" xfId="64" xr:uid="{B1720733-21E3-46A9-83F5-C61A1FF7C27F}"/>
    <cellStyle name="Comma 11 2 2 2 2" xfId="1399" xr:uid="{04D008F4-FFC1-45ED-B4CB-437F63DA70B1}"/>
    <cellStyle name="Comma 11 2 2 3" xfId="888" xr:uid="{DA69CC78-3923-4894-9769-E57E96438661}"/>
    <cellStyle name="Comma 11 2 2 4" xfId="1285" xr:uid="{1886AC59-D0D8-4417-BD76-2083A0F52000}"/>
    <cellStyle name="Comma 11 2 3" xfId="65" xr:uid="{F8D4358D-4DD1-417A-90DD-DE1AFC1BE40C}"/>
    <cellStyle name="Comma 11 2 3 2" xfId="1352" xr:uid="{4524A663-7071-4E35-9870-0A82794E621E}"/>
    <cellStyle name="Comma 11 2 4" xfId="449" xr:uid="{A65F262B-3EE1-497A-91FF-4AD373B070AB}"/>
    <cellStyle name="Comma 11 2 5" xfId="618" xr:uid="{593F411A-4358-467D-A012-439D5307F14A}"/>
    <cellStyle name="Comma 11 2 6" xfId="841" xr:uid="{0C761C59-9EC3-449A-B96B-28F5F7FB4CEB}"/>
    <cellStyle name="Comma 11 2 7" xfId="1190" xr:uid="{870F754B-4545-41FD-96A2-39477C3BE693}"/>
    <cellStyle name="Comma 11 3" xfId="66" xr:uid="{D4868344-8771-457A-8DC5-6BB2AC4BB99C}"/>
    <cellStyle name="Comma 11 4" xfId="406" xr:uid="{2032E765-E39F-491E-9F6E-BB925AF43174}"/>
    <cellStyle name="Comma 12" xfId="67" xr:uid="{E7E370A1-E945-4638-9408-2234A2AAB095}"/>
    <cellStyle name="Comma 12 2" xfId="68" xr:uid="{9BE3CDBF-03E9-4148-8A83-3A5E92B76354}"/>
    <cellStyle name="Comma 12 2 2" xfId="69" xr:uid="{E03223FF-C169-4C25-B0C8-C1DE44B268B5}"/>
    <cellStyle name="Comma 12 2 2 2" xfId="984" xr:uid="{65731E2F-8BF3-4059-9FE4-785F109AE059}"/>
    <cellStyle name="Comma 12 2 2 3" xfId="1495" xr:uid="{C723242F-D2F6-4F70-8410-3F36C68AA89D}"/>
    <cellStyle name="Comma 12 2 3" xfId="565" xr:uid="{DFF54560-ACB4-42AB-BA0E-EC2A7AEAC74C}"/>
    <cellStyle name="Comma 12 2 3 2" xfId="1363" xr:uid="{D0DB06D1-2FC4-48C6-B91E-B573673AD585}"/>
    <cellStyle name="Comma 12 2 4" xfId="699" xr:uid="{F3DCB36B-0B50-46E1-9847-9B771AF4F8AA}"/>
    <cellStyle name="Comma 12 2 5" xfId="853" xr:uid="{560E3262-2DD8-42AE-B737-2087A4622E6E}"/>
    <cellStyle name="Comma 12 2 6" xfId="1191" xr:uid="{6CA04B8A-7FE2-4773-BE05-A2E3C5194639}"/>
    <cellStyle name="Comma 12 3" xfId="70" xr:uid="{39064325-BE42-40D6-B397-4466CB6BC158}"/>
    <cellStyle name="Comma 12 3 2" xfId="71" xr:uid="{93011563-4D62-4D1A-AEE5-4C1B7D10E191}"/>
    <cellStyle name="Comma 12 3 2 2" xfId="1015" xr:uid="{549B5351-4182-4A95-A364-A22AE3467D5A}"/>
    <cellStyle name="Comma 12 3 2 3" xfId="1526" xr:uid="{33227A69-3940-4516-BD82-4A2D039906F9}"/>
    <cellStyle name="Comma 12 3 3" xfId="595" xr:uid="{E74AA9A6-B2A6-4F9F-87AD-01C5CF6A059A}"/>
    <cellStyle name="Comma 12 3 4" xfId="701" xr:uid="{FC8393BE-E319-46F4-8599-CCE028ABDA97}"/>
    <cellStyle name="Comma 12 3 5" xfId="889" xr:uid="{6E4E27EB-7517-49C5-87ED-C76D6C359DD5}"/>
    <cellStyle name="Comma 12 3 6" xfId="1400" xr:uid="{ABB077BD-3239-45F8-B0AE-96C6FE757B8F}"/>
    <cellStyle name="Comma 12 4" xfId="72" xr:uid="{517FB713-ABDD-4DCB-8B52-1931177F232F}"/>
    <cellStyle name="Comma 12 4 2" xfId="978" xr:uid="{2037FE97-6C40-410D-B823-BAA6CFD004A8}"/>
    <cellStyle name="Comma 12 4 3" xfId="1489" xr:uid="{CBE246A0-098C-4A2F-9828-3790361CFFCE}"/>
    <cellStyle name="Comma 12 5" xfId="405" xr:uid="{7159921F-D630-4EBD-88DB-0292B88E59C5}"/>
    <cellStyle name="Comma 12 5 2" xfId="1053" xr:uid="{C319ACFC-F474-44CB-8540-40DAF94BD249}"/>
    <cellStyle name="Comma 12 6" xfId="615" xr:uid="{D359BBEF-C8F1-44A5-AEF9-C242B3936F5A}"/>
    <cellStyle name="Comma 12 7" xfId="732" xr:uid="{CFE6CF32-E51C-4B4E-90C2-8BF71703361B}"/>
    <cellStyle name="Comma 12 8" xfId="1072" xr:uid="{BB929E7E-67D0-46C6-BAB8-5877CB708588}"/>
    <cellStyle name="Comma 13" xfId="73" xr:uid="{F3B1AD1D-00AC-42AA-9446-853C4CDBAD66}"/>
    <cellStyle name="Comma 13 2" xfId="74" xr:uid="{E0D866D9-463A-458C-B1E9-18BADDDE34C9}"/>
    <cellStyle name="Comma 13 2 2" xfId="982" xr:uid="{9870CB47-FEC1-414C-975E-31101AC1E689}"/>
    <cellStyle name="Comma 13 2 3" xfId="1493" xr:uid="{9F6E556F-0906-4396-AB33-07BF38652665}"/>
    <cellStyle name="Comma 13 3" xfId="75" xr:uid="{DDA5938C-5044-4823-8831-343C2190FA92}"/>
    <cellStyle name="Comma 13 3 2" xfId="1361" xr:uid="{9A45F57B-C3D6-4C70-B8A3-CE1BA5FC722A}"/>
    <cellStyle name="Comma 13 4" xfId="608" xr:uid="{72A68C3A-59BA-4167-877D-33292D34404F}"/>
    <cellStyle name="Comma 13 5" xfId="705" xr:uid="{B29F4A6B-BF87-4A90-BFC7-6035FDCB6AE1}"/>
    <cellStyle name="Comma 13 6" xfId="851" xr:uid="{60597814-8995-47FE-BCA5-0BD52E1F6A41}"/>
    <cellStyle name="Comma 13 7" xfId="1187" xr:uid="{C1B6E89E-F57E-4337-AF4B-0D61C2BE5E9F}"/>
    <cellStyle name="Comma 14" xfId="76" xr:uid="{14609CF9-33FC-40B3-8E1C-56877222113D}"/>
    <cellStyle name="Comma 14 2" xfId="77" xr:uid="{EEA0244E-5345-43CD-8E0A-7F09D40C8A50}"/>
    <cellStyle name="Comma 14 2 2" xfId="990" xr:uid="{9024D605-43E2-405D-A48E-D42C5A3C8D43}"/>
    <cellStyle name="Comma 14 2 3" xfId="1501" xr:uid="{5BF7958B-8B6A-4A19-8C5E-E6AE7084C848}"/>
    <cellStyle name="Comma 14 3" xfId="859" xr:uid="{63451B1F-005B-4A68-8EF5-F70A454FAAA9}"/>
    <cellStyle name="Comma 14 3 2" xfId="1370" xr:uid="{1D4C9DAB-0A24-4429-8058-119C549434AD}"/>
    <cellStyle name="Comma 14 4" xfId="1277" xr:uid="{A68241D9-9B3E-4BD9-8638-C51ACAD5BAD8}"/>
    <cellStyle name="Comma 15" xfId="78" xr:uid="{9AD956FC-39D8-437D-B804-3DDC0BC152FA}"/>
    <cellStyle name="Comma 15 2" xfId="79" xr:uid="{1E0304FE-AFCB-45F9-BE7C-327277D28B5D}"/>
    <cellStyle name="Comma 15 2 2" xfId="992" xr:uid="{3508B2E5-5E9C-4129-8DA0-212A5684143E}"/>
    <cellStyle name="Comma 15 2 3" xfId="1503" xr:uid="{EBC0001D-C033-48F1-A971-646D6FF8FC1E}"/>
    <cellStyle name="Comma 15 3" xfId="861" xr:uid="{34CCBC4A-3D50-46B4-B4F8-B5EF88D726F8}"/>
    <cellStyle name="Comma 15 3 2" xfId="1372" xr:uid="{12C392DF-D5F8-4AFE-B126-7BD9AA9F6810}"/>
    <cellStyle name="Comma 15 4" xfId="1282" xr:uid="{A0F2BCA3-1483-4AB2-AF80-74483EC72F7B}"/>
    <cellStyle name="Comma 16" xfId="80" xr:uid="{33116903-22A9-41A0-9699-7410890C2A7D}"/>
    <cellStyle name="Comma 16 2" xfId="81" xr:uid="{443FAC9B-C051-43B7-9B09-6E7CD8336F21}"/>
    <cellStyle name="Comma 16 2 2" xfId="989" xr:uid="{A2D23D3D-260A-48AB-B3DE-4964BEFAA63D}"/>
    <cellStyle name="Comma 16 2 3" xfId="1500" xr:uid="{7F473D9F-408B-4B16-A684-DA5085516A76}"/>
    <cellStyle name="Comma 16 3" xfId="858" xr:uid="{8C59488C-2246-40C8-85ED-314495D52178}"/>
    <cellStyle name="Comma 16 4" xfId="1369" xr:uid="{3E17A6E4-8995-44B0-8D29-A58F7E50CCAE}"/>
    <cellStyle name="Comma 17" xfId="82" xr:uid="{3EA17848-C5AE-44C8-8607-FC6971AFAC83}"/>
    <cellStyle name="Comma 17 2" xfId="83" xr:uid="{36C90E72-1D4E-46FD-AF63-6C0569FBDAA3}"/>
    <cellStyle name="Comma 17 2 2" xfId="991" xr:uid="{6ED49103-E4F4-40BE-9743-C52E958AAA30}"/>
    <cellStyle name="Comma 17 2 3" xfId="1502" xr:uid="{58D4107A-3636-4991-9FC6-1DEF3B217595}"/>
    <cellStyle name="Comma 17 3" xfId="860" xr:uid="{FFFEEFCB-C4FF-48B4-B5DB-1765A1AF1170}"/>
    <cellStyle name="Comma 17 4" xfId="1371" xr:uid="{8E4CBAFF-B3FB-4804-88A5-4F7AC037483D}"/>
    <cellStyle name="Comma 18" xfId="84" xr:uid="{95089174-4BE0-4026-A17B-25EF48D7F2E4}"/>
    <cellStyle name="Comma 18 2" xfId="85" xr:uid="{176D5D71-AB48-48FE-84A6-96E371A9CF5A}"/>
    <cellStyle name="Comma 18 2 2" xfId="988" xr:uid="{DC4D24C6-72A4-4CA5-9E66-195C9E29F9F5}"/>
    <cellStyle name="Comma 18 2 3" xfId="1499" xr:uid="{3D82CF90-699B-4304-BA12-B4C10F58A5C2}"/>
    <cellStyle name="Comma 18 3" xfId="857" xr:uid="{40FCBE5A-74D7-446D-AFA4-D5E6D35CB6BD}"/>
    <cellStyle name="Comma 18 4" xfId="1368" xr:uid="{F9E16A5F-385B-4971-BFEE-301C59397A8D}"/>
    <cellStyle name="Comma 19" xfId="86" xr:uid="{FD55A412-D960-4EBA-8362-0B27DF8D64E9}"/>
    <cellStyle name="Comma 19 2" xfId="87" xr:uid="{D13B8096-853D-45F7-935D-B326D3AC2ED2}"/>
    <cellStyle name="Comma 19 2 2" xfId="993" xr:uid="{51297CB5-5DCC-4281-9454-311ABE307A2D}"/>
    <cellStyle name="Comma 19 2 3" xfId="1504" xr:uid="{40DA3440-960E-4AA1-BE2E-38612054A0D1}"/>
    <cellStyle name="Comma 19 3" xfId="862" xr:uid="{1AE33FC4-CEDB-4B2E-A5B7-9966665D4CDA}"/>
    <cellStyle name="Comma 19 4" xfId="1373" xr:uid="{A20F8571-BAEA-4A58-81BA-58D12A948A4A}"/>
    <cellStyle name="Comma 2" xfId="88" xr:uid="{25E4537C-361E-4EF0-8772-BC5000782539}"/>
    <cellStyle name="Comma 2 10" xfId="89" xr:uid="{B54D71F0-05BF-4708-97C7-49528611C831}"/>
    <cellStyle name="Comma 2 10 10" xfId="1074" xr:uid="{7A9A97A1-2398-481E-9D5A-B7183BB7835D}"/>
    <cellStyle name="Comma 2 10 2" xfId="90" xr:uid="{75F12176-4992-46F8-9F27-61647D876387}"/>
    <cellStyle name="Comma 2 10 2 2" xfId="91" xr:uid="{381FAA04-C7F2-4498-AD8E-B668CEE64EA3}"/>
    <cellStyle name="Comma 2 10 2 2 2" xfId="892" xr:uid="{B94A8281-81D9-47E4-9D57-B3C01C0CAC6B}"/>
    <cellStyle name="Comma 2 10 2 2 2 2" xfId="1403" xr:uid="{80D6E355-42A4-4908-AA11-9E8CE2B73F7B}"/>
    <cellStyle name="Comma 2 10 2 2 3" xfId="1194" xr:uid="{A4B6CB24-D269-4C51-AF91-2EE4745EC70D}"/>
    <cellStyle name="Comma 2 10 2 3" xfId="452" xr:uid="{6EEE8971-7C9C-4F77-B81E-D401F3BD5744}"/>
    <cellStyle name="Comma 2 10 2 3 2" xfId="1297" xr:uid="{CA51F8D6-18D0-472B-BDE7-35B7BC4614B4}"/>
    <cellStyle name="Comma 2 10 2 4" xfId="621" xr:uid="{A910678E-9089-451E-B68E-347FA4FD845A}"/>
    <cellStyle name="Comma 2 10 2 5" xfId="787" xr:uid="{8355572A-5313-4006-8C35-BEF73B6964B0}"/>
    <cellStyle name="Comma 2 10 2 6" xfId="1075" xr:uid="{1CC9FA23-EE3E-41B4-8E12-DA737F9CD1BE}"/>
    <cellStyle name="Comma 2 10 3" xfId="92" xr:uid="{B98FDA4C-CB8A-4F8F-B313-861864432EE1}"/>
    <cellStyle name="Comma 2 10 3 2" xfId="93" xr:uid="{D7734105-AFA6-42BC-B278-EDC3412F7BAC}"/>
    <cellStyle name="Comma 2 10 3 2 2" xfId="983" xr:uid="{EA8BCF43-D71B-45C0-925C-29CBCCDBE2B7}"/>
    <cellStyle name="Comma 2 10 3 2 3" xfId="1494" xr:uid="{AC103433-F757-42BA-B818-EBD1E0C5287E}"/>
    <cellStyle name="Comma 2 10 3 3" xfId="596" xr:uid="{5800C7F5-90C4-4696-820B-1FB6A9706164}"/>
    <cellStyle name="Comma 2 10 3 3 2" xfId="1362" xr:uid="{B6F39803-4BE5-4152-9459-186702B6747C}"/>
    <cellStyle name="Comma 2 10 3 4" xfId="702" xr:uid="{0F8E149E-0C19-421E-8FBE-CC4523A17E7D}"/>
    <cellStyle name="Comma 2 10 3 5" xfId="852" xr:uid="{84DB57BD-8914-48EC-BB7B-59849357A768}"/>
    <cellStyle name="Comma 2 10 3 6" xfId="1193" xr:uid="{F24AF403-515C-4C26-912E-0BF0B87DFE86}"/>
    <cellStyle name="Comma 2 10 4" xfId="94" xr:uid="{44701CCB-C677-4B17-B1C1-1E8B03B0C35C}"/>
    <cellStyle name="Comma 2 10 4 2" xfId="95" xr:uid="{F50AE464-349C-4458-9C16-ED61876A5FA1}"/>
    <cellStyle name="Comma 2 10 4 2 2" xfId="994" xr:uid="{BBD33AAA-935D-482C-B85C-1801E0772306}"/>
    <cellStyle name="Comma 2 10 4 2 3" xfId="1505" xr:uid="{A673153D-D7A5-46DB-A186-9DDC97D47046}"/>
    <cellStyle name="Comma 2 10 4 3" xfId="863" xr:uid="{22A35E8D-E120-42F1-AAE1-F6EC479EB6B9}"/>
    <cellStyle name="Comma 2 10 4 3 2" xfId="1374" xr:uid="{1A426D37-540B-4681-BE46-90641A468702}"/>
    <cellStyle name="Comma 2 10 4 4" xfId="1278" xr:uid="{22406A78-B3A8-4720-9457-8180C4ED291E}"/>
    <cellStyle name="Comma 2 10 5" xfId="96" xr:uid="{E872C7C7-1B16-412E-BD57-E2C13782208F}"/>
    <cellStyle name="Comma 2 10 5 2" xfId="97" xr:uid="{D86B6D00-6D82-4C5E-BD1D-806B8922F493}"/>
    <cellStyle name="Comma 2 10 5 2 2" xfId="1003" xr:uid="{16BB509B-28DC-41E2-98D3-EBCE564C3A8A}"/>
    <cellStyle name="Comma 2 10 5 2 3" xfId="1514" xr:uid="{03C781F2-E956-442E-8798-BB4CBD9F3536}"/>
    <cellStyle name="Comma 2 10 5 3" xfId="872" xr:uid="{7CB9134D-877D-44FB-A10C-AA2C972EFF64}"/>
    <cellStyle name="Comma 2 10 5 4" xfId="1383" xr:uid="{1AC83477-FDBF-4CE3-AED5-787214B5B9D6}"/>
    <cellStyle name="Comma 2 10 6" xfId="98" xr:uid="{7701E9AC-BBF0-47EB-81EC-602C8A6FCF87}"/>
    <cellStyle name="Comma 2 10 6 2" xfId="891" xr:uid="{91FB472B-A8E2-4412-B831-3204A451B322}"/>
    <cellStyle name="Comma 2 10 6 3" xfId="1402" xr:uid="{D72BC8B1-242B-4001-B81D-F63357398A64}"/>
    <cellStyle name="Comma 2 10 7" xfId="451" xr:uid="{CD9FF72B-2AF0-4553-A3E2-96FA2BD93F39}"/>
    <cellStyle name="Comma 2 10 7 2" xfId="1296" xr:uid="{26C00374-127C-4A94-B75E-5A080BCBBD76}"/>
    <cellStyle name="Comma 2 10 8" xfId="620" xr:uid="{5E7318E7-6830-408E-95FC-99FAFF4C3647}"/>
    <cellStyle name="Comma 2 10 9" xfId="786" xr:uid="{506EBFE0-7B7E-411C-880F-4B31B94B8277}"/>
    <cellStyle name="Comma 2 11" xfId="99" xr:uid="{EA6AB33B-384C-47B8-A00E-740510A634BA}"/>
    <cellStyle name="Comma 2 11 2" xfId="100" xr:uid="{A649E2E3-F4FC-4089-8B07-1ABBB30D9A86}"/>
    <cellStyle name="Comma 2 11 2 2" xfId="101" xr:uid="{19E5B6CC-FA14-4539-999E-97C519AC2577}"/>
    <cellStyle name="Comma 2 11 2 2 2" xfId="894" xr:uid="{121570D1-636D-4C3E-BBC4-5CB93F614880}"/>
    <cellStyle name="Comma 2 11 2 2 2 2" xfId="1405" xr:uid="{CDAB7B6B-7746-4744-9894-F9AA96843D0F}"/>
    <cellStyle name="Comma 2 11 2 2 3" xfId="1196" xr:uid="{0E18C704-AE11-4293-85B7-4DF63415412A}"/>
    <cellStyle name="Comma 2 11 2 3" xfId="454" xr:uid="{2B618BDA-E422-4B75-B060-5F301936E78F}"/>
    <cellStyle name="Comma 2 11 2 3 2" xfId="1299" xr:uid="{8427B86E-D706-4E9F-BB23-3D898A2A94BE}"/>
    <cellStyle name="Comma 2 11 2 4" xfId="623" xr:uid="{61B54B96-B950-462C-80E5-1D95AB2A60EF}"/>
    <cellStyle name="Comma 2 11 2 5" xfId="789" xr:uid="{915F1B45-B13D-4083-8CE9-D28DBFA0CBA6}"/>
    <cellStyle name="Comma 2 11 2 6" xfId="1077" xr:uid="{F688A2BF-4FD6-4606-8158-E9B60B62DCCE}"/>
    <cellStyle name="Comma 2 11 3" xfId="102" xr:uid="{9B1F0C95-18D8-46B0-B786-F95C0F3C53DA}"/>
    <cellStyle name="Comma 2 11 3 2" xfId="893" xr:uid="{2DE27089-138F-441C-8862-34FD6CCA4E4B}"/>
    <cellStyle name="Comma 2 11 3 2 2" xfId="1404" xr:uid="{2BDBEF05-ED24-4BD4-A8C3-419B9FE45750}"/>
    <cellStyle name="Comma 2 11 3 3" xfId="1195" xr:uid="{1027BA03-A5FB-4EE6-B755-5E968EED30A0}"/>
    <cellStyle name="Comma 2 11 4" xfId="453" xr:uid="{0F78EC8D-7C00-43E3-808A-AB30548944BD}"/>
    <cellStyle name="Comma 2 11 4 2" xfId="1298" xr:uid="{1BB3010C-84E3-40DA-A8E1-7C4AE5847C52}"/>
    <cellStyle name="Comma 2 11 5" xfId="622" xr:uid="{FB861186-0234-4216-B9A9-5D3BE17E84EF}"/>
    <cellStyle name="Comma 2 11 6" xfId="788" xr:uid="{7871F8BC-EF9C-487A-829B-B9F4FA675EBF}"/>
    <cellStyle name="Comma 2 11 7" xfId="1076" xr:uid="{F1D55BBE-F3AB-4392-87F1-36CEC3D31ED6}"/>
    <cellStyle name="Comma 2 12" xfId="103" xr:uid="{49275409-7509-4319-A7E9-3E2030ED66F7}"/>
    <cellStyle name="Comma 2 12 2" xfId="104" xr:uid="{F7D86B28-6F03-4FD9-A33F-EF4A35CE9E73}"/>
    <cellStyle name="Comma 2 12 2 2" xfId="105" xr:uid="{82BEF156-79B2-479C-AD60-D473E9D85F8F}"/>
    <cellStyle name="Comma 2 12 2 2 2" xfId="896" xr:uid="{D43D211A-0A43-48AB-8572-4F7AAA7B0942}"/>
    <cellStyle name="Comma 2 12 2 2 2 2" xfId="1407" xr:uid="{7BD32B8E-8530-4787-B809-C77A6D40B8D0}"/>
    <cellStyle name="Comma 2 12 2 2 3" xfId="1198" xr:uid="{6305AC0E-4694-4133-89FC-DEFE84D790C0}"/>
    <cellStyle name="Comma 2 12 2 3" xfId="456" xr:uid="{2971E9E5-1B23-47F2-A00E-D54E007741DA}"/>
    <cellStyle name="Comma 2 12 2 3 2" xfId="1301" xr:uid="{8FCBD2E8-93EC-47FA-A0F6-67DEB0956897}"/>
    <cellStyle name="Comma 2 12 2 4" xfId="625" xr:uid="{AB81ED76-9E09-4917-9A54-B9F06DAA653D}"/>
    <cellStyle name="Comma 2 12 2 5" xfId="791" xr:uid="{1D096080-8587-40FF-84F3-23680148880D}"/>
    <cellStyle name="Comma 2 12 2 6" xfId="1079" xr:uid="{954C1E8F-0A2C-4ACC-8BA4-B54269A6A7A4}"/>
    <cellStyle name="Comma 2 12 3" xfId="106" xr:uid="{01FF861B-C49D-4C40-8F45-0518F2F4FC69}"/>
    <cellStyle name="Comma 2 12 3 2" xfId="895" xr:uid="{038D1061-A86F-49AF-B234-A76E5ADB9341}"/>
    <cellStyle name="Comma 2 12 3 2 2" xfId="1406" xr:uid="{AC657E9C-8C70-4A56-80F6-EDC020C52A32}"/>
    <cellStyle name="Comma 2 12 3 3" xfId="1197" xr:uid="{3D89A34F-D563-4B15-8C37-7FC3034506DA}"/>
    <cellStyle name="Comma 2 12 4" xfId="455" xr:uid="{586B2787-1C2A-420F-86F5-46DCED842526}"/>
    <cellStyle name="Comma 2 12 4 2" xfId="1300" xr:uid="{DB6D716B-BA7B-42A8-AD84-226DFBFE39ED}"/>
    <cellStyle name="Comma 2 12 5" xfId="624" xr:uid="{B1E4B27C-EA92-435B-AEF3-08A7DB73E555}"/>
    <cellStyle name="Comma 2 12 6" xfId="790" xr:uid="{BA08F92B-08DC-4937-A671-6CDD154C455D}"/>
    <cellStyle name="Comma 2 12 7" xfId="1078" xr:uid="{CF78E6A6-80A8-4BDF-906D-432316081096}"/>
    <cellStyle name="Comma 2 13" xfId="107" xr:uid="{D59D480B-3128-4AAD-8A8A-D030446B32CB}"/>
    <cellStyle name="Comma 2 13 2" xfId="108" xr:uid="{1177D491-F754-40A7-888D-267B295BCEAF}"/>
    <cellStyle name="Comma 2 13 2 2" xfId="109" xr:uid="{CB2C33E4-501A-4169-9B83-1B63DBD70E0E}"/>
    <cellStyle name="Comma 2 13 2 2 2" xfId="898" xr:uid="{6FBD78F3-271F-4C9F-8D5F-EF7457CAFE8D}"/>
    <cellStyle name="Comma 2 13 2 2 2 2" xfId="1409" xr:uid="{F5E85CA1-64C3-4443-A136-01F028EDF7E6}"/>
    <cellStyle name="Comma 2 13 2 2 3" xfId="1200" xr:uid="{6E92AC6A-ACBF-4B4F-AB2E-2AE086798790}"/>
    <cellStyle name="Comma 2 13 2 3" xfId="458" xr:uid="{F47AF12D-22D3-483B-B7AB-EF3451D5967A}"/>
    <cellStyle name="Comma 2 13 2 3 2" xfId="1303" xr:uid="{D3CC9393-194F-4A61-BD84-B0441C0239F5}"/>
    <cellStyle name="Comma 2 13 2 4" xfId="627" xr:uid="{93CD8100-9E06-4BE8-943C-A17E1E2F029A}"/>
    <cellStyle name="Comma 2 13 2 5" xfId="793" xr:uid="{E6779CEC-B13E-461F-9D34-B2A0FABEE243}"/>
    <cellStyle name="Comma 2 13 2 6" xfId="1081" xr:uid="{025C6708-F313-4A55-AA5B-3B184E84E8EC}"/>
    <cellStyle name="Comma 2 13 3" xfId="110" xr:uid="{C2345B8A-5E1D-46BC-84D8-5391AEC9B156}"/>
    <cellStyle name="Comma 2 13 3 2" xfId="897" xr:uid="{8B27F0D5-0361-48CD-A3AA-17B2DE06676B}"/>
    <cellStyle name="Comma 2 13 3 2 2" xfId="1408" xr:uid="{407DBC32-BFD6-46A6-8096-E2FCED3A1C99}"/>
    <cellStyle name="Comma 2 13 3 3" xfId="1199" xr:uid="{D425763C-6EDE-4542-9940-4EA2101C6422}"/>
    <cellStyle name="Comma 2 13 4" xfId="457" xr:uid="{A3CBFDA1-E05F-46D8-B4D2-FFBB2ECE1F53}"/>
    <cellStyle name="Comma 2 13 4 2" xfId="1302" xr:uid="{40A18F3A-E508-4517-BD26-F10FFD60FFA5}"/>
    <cellStyle name="Comma 2 13 5" xfId="626" xr:uid="{55DF23DA-C9B7-4D78-9BF3-99F85B5C8C24}"/>
    <cellStyle name="Comma 2 13 6" xfId="792" xr:uid="{FFF98E8F-08DB-424E-AD67-1279486DDD49}"/>
    <cellStyle name="Comma 2 13 7" xfId="1080" xr:uid="{D26E35DC-F889-41E9-A6AB-D80D196A275F}"/>
    <cellStyle name="Comma 2 14" xfId="111" xr:uid="{F7797D72-283A-4BF1-9426-318B2AA8D2AF}"/>
    <cellStyle name="Comma 2 14 2" xfId="112" xr:uid="{A990CA03-CC15-479E-B041-E5B98B814424}"/>
    <cellStyle name="Comma 2 14 2 2" xfId="113" xr:uid="{5360BFF7-0CDC-49E7-9AAA-636E2F6C521B}"/>
    <cellStyle name="Comma 2 14 2 2 2" xfId="900" xr:uid="{DF1FDCF5-2B40-430C-90E7-E780867E9EDC}"/>
    <cellStyle name="Comma 2 14 2 2 2 2" xfId="1411" xr:uid="{C8F5506A-14F1-43ED-88AA-028B18755CB4}"/>
    <cellStyle name="Comma 2 14 2 2 3" xfId="1202" xr:uid="{CC138E0C-6C8D-493A-BED2-0A0FB30E22E6}"/>
    <cellStyle name="Comma 2 14 2 3" xfId="460" xr:uid="{8F0E224C-451A-4BC7-9FE7-2370EC758BC6}"/>
    <cellStyle name="Comma 2 14 2 3 2" xfId="1305" xr:uid="{86BBABAF-E516-4F58-B41E-E18BFDF1C49E}"/>
    <cellStyle name="Comma 2 14 2 4" xfId="629" xr:uid="{3FF547E2-0723-4342-A703-847E48F9C4CE}"/>
    <cellStyle name="Comma 2 14 2 5" xfId="795" xr:uid="{ED4479C4-66D5-44ED-BDF8-C6D9CF4B6A35}"/>
    <cellStyle name="Comma 2 14 2 6" xfId="1083" xr:uid="{749C604A-86CE-419A-AC9C-1375B8542F4D}"/>
    <cellStyle name="Comma 2 14 3" xfId="114" xr:uid="{4F2D6EEC-CF9B-424E-937F-A4379D19C5E8}"/>
    <cellStyle name="Comma 2 14 3 2" xfId="899" xr:uid="{FBF86802-29D8-41A4-B55E-A01C47909475}"/>
    <cellStyle name="Comma 2 14 3 2 2" xfId="1410" xr:uid="{5B812924-AE4C-4B8B-BCB5-079E3CC0BB51}"/>
    <cellStyle name="Comma 2 14 3 3" xfId="1201" xr:uid="{0F4AE0B3-695B-4664-A5F5-D49C5B8F6ECB}"/>
    <cellStyle name="Comma 2 14 4" xfId="459" xr:uid="{21A60443-FEDA-4A69-B635-FAF8CE0DC974}"/>
    <cellStyle name="Comma 2 14 4 2" xfId="1304" xr:uid="{BF081544-E4FE-43E0-835F-18CF053A7EC4}"/>
    <cellStyle name="Comma 2 14 5" xfId="628" xr:uid="{CC59F08F-F7C5-4194-AF3C-21D9F1ADAED1}"/>
    <cellStyle name="Comma 2 14 6" xfId="794" xr:uid="{4AC31D32-2CAE-4645-BD63-75336C0AFB85}"/>
    <cellStyle name="Comma 2 14 7" xfId="1082" xr:uid="{31D379BF-B149-4F50-A590-632DEE1100D3}"/>
    <cellStyle name="Comma 2 15" xfId="115" xr:uid="{77EAFD30-7CEF-4D68-B1DF-D0B695624E0C}"/>
    <cellStyle name="Comma 2 15 2" xfId="116" xr:uid="{4214503C-1B42-4D49-9FF9-004E2ED8E526}"/>
    <cellStyle name="Comma 2 15 2 2" xfId="117" xr:uid="{312C5C7A-6940-4037-B8F7-C51B61189239}"/>
    <cellStyle name="Comma 2 15 2 2 2" xfId="902" xr:uid="{6D84C75C-99C1-4F4D-9A7E-BFC4B6A25DBD}"/>
    <cellStyle name="Comma 2 15 2 2 2 2" xfId="1413" xr:uid="{61151FD8-56BE-4623-828F-CD92972F34FB}"/>
    <cellStyle name="Comma 2 15 2 2 3" xfId="1204" xr:uid="{97245F34-CAA6-49FD-8069-4C0E9C73D425}"/>
    <cellStyle name="Comma 2 15 2 3" xfId="462" xr:uid="{D076E012-77CA-440B-9B0C-477DDA8CBA6D}"/>
    <cellStyle name="Comma 2 15 2 3 2" xfId="1307" xr:uid="{97B29B5F-054F-4DED-AEC3-513A76EF9ECF}"/>
    <cellStyle name="Comma 2 15 2 4" xfId="631" xr:uid="{53D4B89C-E04B-499F-871B-FE6100378444}"/>
    <cellStyle name="Comma 2 15 2 5" xfId="797" xr:uid="{F45637A1-EB99-4E02-BC42-7D3EDCF2945A}"/>
    <cellStyle name="Comma 2 15 2 6" xfId="1085" xr:uid="{AC6750F2-7CE5-46F2-90B3-EA6CACC22EB5}"/>
    <cellStyle name="Comma 2 15 3" xfId="118" xr:uid="{4B40DEED-D360-4CA9-89B4-6D8F47E0CEAC}"/>
    <cellStyle name="Comma 2 15 3 2" xfId="901" xr:uid="{9A9ACAE8-FF46-487F-A32D-DBAEF55F2C02}"/>
    <cellStyle name="Comma 2 15 3 2 2" xfId="1412" xr:uid="{590EAFA5-F9E2-4C4D-A3B4-8C5EA626255D}"/>
    <cellStyle name="Comma 2 15 3 3" xfId="1203" xr:uid="{9F1A0316-0E53-40AE-B9AA-8BE64AAFEC49}"/>
    <cellStyle name="Comma 2 15 4" xfId="461" xr:uid="{5AD83025-1398-4014-8899-E92FF5D23B6A}"/>
    <cellStyle name="Comma 2 15 4 2" xfId="1306" xr:uid="{F9BAC177-AB55-4DC1-B9D8-D8D231B14B28}"/>
    <cellStyle name="Comma 2 15 5" xfId="630" xr:uid="{001C94EE-212C-4C06-91BA-3FC2274730D1}"/>
    <cellStyle name="Comma 2 15 6" xfId="796" xr:uid="{2CE72E0E-7BFC-4D93-831F-B431789FEDC3}"/>
    <cellStyle name="Comma 2 15 7" xfId="1084" xr:uid="{47D108B4-504F-4656-BAAD-242B47F8E358}"/>
    <cellStyle name="Comma 2 16" xfId="119" xr:uid="{BAED4668-C6D4-44F6-B165-CFF3E1CBF926}"/>
    <cellStyle name="Comma 2 16 2" xfId="120" xr:uid="{D391B6A1-8E24-458F-AACC-C2EB73A00AFD}"/>
    <cellStyle name="Comma 2 16 2 2" xfId="121" xr:uid="{1DDF3F3C-850D-483B-AEDA-02C2966C6A6F}"/>
    <cellStyle name="Comma 2 16 2 2 2" xfId="904" xr:uid="{A585E689-03F2-4722-BED4-CFC347C8EBE6}"/>
    <cellStyle name="Comma 2 16 2 2 2 2" xfId="1415" xr:uid="{966F023B-CC25-40BA-8F6F-291D7D599379}"/>
    <cellStyle name="Comma 2 16 2 2 3" xfId="1206" xr:uid="{B645F1DA-5509-4666-BAE2-BD3CB5C5B087}"/>
    <cellStyle name="Comma 2 16 2 3" xfId="464" xr:uid="{36A4C938-842A-4648-8813-0F75914CF31F}"/>
    <cellStyle name="Comma 2 16 2 3 2" xfId="1309" xr:uid="{8288F706-B46D-4B69-B8B2-A3C9A2C4D751}"/>
    <cellStyle name="Comma 2 16 2 4" xfId="633" xr:uid="{4BDD51B3-693F-46B9-AB61-41B19A7FF224}"/>
    <cellStyle name="Comma 2 16 2 5" xfId="799" xr:uid="{CDA8B33A-5625-416F-A59A-0174C6172C93}"/>
    <cellStyle name="Comma 2 16 2 6" xfId="1087" xr:uid="{F3304118-8D91-4769-AFDA-51A886D825BD}"/>
    <cellStyle name="Comma 2 16 3" xfId="122" xr:uid="{821E884A-4E5A-4381-9C40-578E1DC9E387}"/>
    <cellStyle name="Comma 2 16 3 2" xfId="903" xr:uid="{E994BBF4-ABF4-43CF-B55A-B8950C80033B}"/>
    <cellStyle name="Comma 2 16 3 2 2" xfId="1414" xr:uid="{1C45BA50-9058-4D08-B4C9-06125622A312}"/>
    <cellStyle name="Comma 2 16 3 3" xfId="1205" xr:uid="{C0F01AE6-BEA3-46D1-8BAB-42B77299CA77}"/>
    <cellStyle name="Comma 2 16 4" xfId="463" xr:uid="{40CC1FD5-C14E-4BF6-8DC4-9A88F0A7BB5F}"/>
    <cellStyle name="Comma 2 16 4 2" xfId="1308" xr:uid="{8D2F7350-4D7E-4F57-AF26-ECAD58EB1FBD}"/>
    <cellStyle name="Comma 2 16 5" xfId="632" xr:uid="{86151760-2B48-4587-A266-C85233FF0693}"/>
    <cellStyle name="Comma 2 16 6" xfId="798" xr:uid="{460175D7-722E-4090-92B3-7E00A7EAB8CD}"/>
    <cellStyle name="Comma 2 16 7" xfId="1086" xr:uid="{47E5A216-E8E4-452E-AA61-A0C3B53FC7F3}"/>
    <cellStyle name="Comma 2 17" xfId="123" xr:uid="{2A8DD070-A160-42BB-BA26-B1A7B5F2A320}"/>
    <cellStyle name="Comma 2 17 2" xfId="124" xr:uid="{386969CB-0828-483F-999D-265F5D6DB516}"/>
    <cellStyle name="Comma 2 17 2 2" xfId="125" xr:uid="{FF7325CB-ED87-4C89-8E6C-659405FD41D4}"/>
    <cellStyle name="Comma 2 17 2 2 2" xfId="906" xr:uid="{BFA40DB2-0F3C-43A8-854F-D0FF2820EC06}"/>
    <cellStyle name="Comma 2 17 2 2 2 2" xfId="1417" xr:uid="{E75FCBE6-49AD-4BDD-9125-2269BDD2AE6E}"/>
    <cellStyle name="Comma 2 17 2 2 3" xfId="1208" xr:uid="{EA1A0C49-666E-4A0E-9AF7-7E1DEB42EEA1}"/>
    <cellStyle name="Comma 2 17 2 3" xfId="466" xr:uid="{63B233AA-781A-4A9F-9840-A073FCF567A0}"/>
    <cellStyle name="Comma 2 17 2 3 2" xfId="1311" xr:uid="{9D91C8AA-9844-4714-9F40-6E7848ED0D85}"/>
    <cellStyle name="Comma 2 17 2 4" xfId="635" xr:uid="{8BF41E65-BB60-458B-B656-EE4B57474729}"/>
    <cellStyle name="Comma 2 17 2 5" xfId="801" xr:uid="{EFDDCB7F-4DFD-4BB6-AD35-83169DD07C8A}"/>
    <cellStyle name="Comma 2 17 2 6" xfId="1089" xr:uid="{2F3D0001-5E33-4F71-930F-3C2FEE43049C}"/>
    <cellStyle name="Comma 2 17 3" xfId="126" xr:uid="{40E70271-9697-4990-A3A6-51077A55ECD8}"/>
    <cellStyle name="Comma 2 17 3 2" xfId="905" xr:uid="{3FF09257-48B1-4C01-9E51-5748B4A86E35}"/>
    <cellStyle name="Comma 2 17 3 2 2" xfId="1416" xr:uid="{A7BA1902-5B43-4EFC-A1C5-0F4FAA7229BF}"/>
    <cellStyle name="Comma 2 17 3 3" xfId="1207" xr:uid="{4A55FFB0-0E89-4E82-83E5-3DD4C1F1D9E9}"/>
    <cellStyle name="Comma 2 17 4" xfId="465" xr:uid="{18BBD40D-3D4F-4CCC-9972-09329E4AEC48}"/>
    <cellStyle name="Comma 2 17 4 2" xfId="1310" xr:uid="{54711D62-D9C8-4518-B678-1B4E4503C491}"/>
    <cellStyle name="Comma 2 17 5" xfId="634" xr:uid="{CFB22443-CC7A-4271-B661-3B22230B1AC2}"/>
    <cellStyle name="Comma 2 17 6" xfId="800" xr:uid="{FF4217BB-1A35-45AD-88EE-491A9EA311DA}"/>
    <cellStyle name="Comma 2 17 7" xfId="1088" xr:uid="{4AA15325-B999-4657-8570-9ECAF602B447}"/>
    <cellStyle name="Comma 2 18" xfId="127" xr:uid="{3E32E308-F012-49D1-879C-5CE95C008EE4}"/>
    <cellStyle name="Comma 2 18 2" xfId="128" xr:uid="{471E884C-C333-48FE-AC19-D9FA42820FFC}"/>
    <cellStyle name="Comma 2 18 2 2" xfId="129" xr:uid="{55C282EA-4A28-45CB-BEB5-0B5E70C8BB16}"/>
    <cellStyle name="Comma 2 18 2 2 2" xfId="908" xr:uid="{6B90236E-8467-45C0-9AB8-B72CC845258B}"/>
    <cellStyle name="Comma 2 18 2 2 2 2" xfId="1419" xr:uid="{322B099B-109E-4DD6-8E7E-DAF28B1FD7D2}"/>
    <cellStyle name="Comma 2 18 2 2 3" xfId="1210" xr:uid="{948DFB9D-A401-465A-9EC9-CD7CE05A7F46}"/>
    <cellStyle name="Comma 2 18 2 3" xfId="468" xr:uid="{5D1AAAA5-4818-4380-A0B6-CBE63747AAD0}"/>
    <cellStyle name="Comma 2 18 2 3 2" xfId="1313" xr:uid="{ACC211DC-08F5-4454-9855-26CDE8FB27FC}"/>
    <cellStyle name="Comma 2 18 2 4" xfId="637" xr:uid="{078FB95D-E9CC-4A3B-AD3D-50456DB6E87C}"/>
    <cellStyle name="Comma 2 18 2 5" xfId="803" xr:uid="{37B1D390-D184-49C2-83E0-5B1D4448D5F5}"/>
    <cellStyle name="Comma 2 18 2 6" xfId="1091" xr:uid="{3FAA1FA1-D0B2-4EF3-BE57-8920071BACCB}"/>
    <cellStyle name="Comma 2 18 3" xfId="130" xr:uid="{F4F2F3D5-A757-4260-BF26-FBE4D00B434D}"/>
    <cellStyle name="Comma 2 18 3 2" xfId="907" xr:uid="{2E586901-D5E7-49B8-9FC1-7BC9490A41F1}"/>
    <cellStyle name="Comma 2 18 3 2 2" xfId="1418" xr:uid="{88B38752-156B-4293-B1A6-B68A02DC22E5}"/>
    <cellStyle name="Comma 2 18 3 3" xfId="1209" xr:uid="{7838FE93-DD3F-407B-8D94-28BCF33A0923}"/>
    <cellStyle name="Comma 2 18 4" xfId="467" xr:uid="{6472BE13-BDEC-481F-8610-720E39E536EF}"/>
    <cellStyle name="Comma 2 18 4 2" xfId="1312" xr:uid="{543B9E39-11ED-4D15-86A8-D4120688F7D2}"/>
    <cellStyle name="Comma 2 18 5" xfId="636" xr:uid="{9A93AFC3-13D3-44FE-9094-AD52F3679B67}"/>
    <cellStyle name="Comma 2 18 6" xfId="802" xr:uid="{6E594B85-67D2-40D1-810A-F05F605D0C20}"/>
    <cellStyle name="Comma 2 18 7" xfId="1090" xr:uid="{F3553DA2-6952-401C-A1B0-D2E2C39DBBF8}"/>
    <cellStyle name="Comma 2 19" xfId="131" xr:uid="{665DE303-9626-4036-9B05-384F86C9E284}"/>
    <cellStyle name="Comma 2 19 2" xfId="132" xr:uid="{E7FBADF1-BE70-4ACF-B88E-B7ACF7B82EEA}"/>
    <cellStyle name="Comma 2 19 2 2" xfId="133" xr:uid="{8BF3EAA0-EF31-4967-969E-9FDA698A0654}"/>
    <cellStyle name="Comma 2 19 2 2 2" xfId="910" xr:uid="{1EEDBF32-5620-4965-9D74-9ECE682F4FCA}"/>
    <cellStyle name="Comma 2 19 2 2 2 2" xfId="1421" xr:uid="{9D11DCBE-D65A-458B-83B6-8B084AAB6C1C}"/>
    <cellStyle name="Comma 2 19 2 2 3" xfId="1212" xr:uid="{EC157752-21F4-425D-9094-59746615ACA1}"/>
    <cellStyle name="Comma 2 19 2 3" xfId="470" xr:uid="{E7EA6871-CA0B-4D44-8D4E-4D5397DBF7C4}"/>
    <cellStyle name="Comma 2 19 2 3 2" xfId="1315" xr:uid="{A9FD0C65-A870-4312-BA4C-9EBDF1925AC7}"/>
    <cellStyle name="Comma 2 19 2 4" xfId="639" xr:uid="{BA88E108-5EE3-4B2F-B684-3E32698F76FB}"/>
    <cellStyle name="Comma 2 19 2 5" xfId="805" xr:uid="{8D24D330-AB35-4A46-98C9-C5D5DEA4B014}"/>
    <cellStyle name="Comma 2 19 2 6" xfId="1093" xr:uid="{5113F794-9B4D-43DD-95FC-F7015264C69E}"/>
    <cellStyle name="Comma 2 19 3" xfId="134" xr:uid="{AEBF7808-B20C-4B71-9291-3C609D3C8857}"/>
    <cellStyle name="Comma 2 19 3 2" xfId="909" xr:uid="{5FA89696-CFA5-4CBF-AA49-FDFF0DC94C6A}"/>
    <cellStyle name="Comma 2 19 3 2 2" xfId="1420" xr:uid="{958EFDD0-3AAA-4FB3-8FA8-FF2A1B036FA9}"/>
    <cellStyle name="Comma 2 19 3 3" xfId="1211" xr:uid="{DD6938CA-BB54-40A4-A358-CBCAB1E95538}"/>
    <cellStyle name="Comma 2 19 4" xfId="469" xr:uid="{0E67C27F-B27B-456C-94CF-BC1493A42049}"/>
    <cellStyle name="Comma 2 19 4 2" xfId="1314" xr:uid="{93B7C08D-96BD-432F-B0D2-8328CAE6A3C6}"/>
    <cellStyle name="Comma 2 19 5" xfId="638" xr:uid="{CC003903-2114-41A4-B897-5B8E7FB74492}"/>
    <cellStyle name="Comma 2 19 6" xfId="804" xr:uid="{34C879FB-A344-4A59-8503-58B46AC821FC}"/>
    <cellStyle name="Comma 2 19 7" xfId="1092" xr:uid="{5B0F2568-FBCF-4665-8B4E-475415396FAA}"/>
    <cellStyle name="Comma 2 2" xfId="135" xr:uid="{49A51CB5-EDD0-4F96-BEA2-E7A873B50F0C}"/>
    <cellStyle name="Comma 2 2 10" xfId="616" xr:uid="{C603D940-4A10-440F-8AFF-1DDB45D98ABB}"/>
    <cellStyle name="Comma 2 2 11" xfId="733" xr:uid="{959FE23D-C3B7-4610-958C-2F0483F4857B}"/>
    <cellStyle name="Comma 2 2 12" xfId="1094" xr:uid="{4097C293-C9F2-4A60-B5CE-2D06B551478F}"/>
    <cellStyle name="Comma 2 2 2" xfId="136" xr:uid="{2AB18E3A-6BCE-491E-826B-773B98B8B223}"/>
    <cellStyle name="Comma 2 2 2 2" xfId="137" xr:uid="{21A78F12-A8C7-495C-A472-A56A414F5253}"/>
    <cellStyle name="Comma 2 2 2 2 2" xfId="138" xr:uid="{3CB0E399-E671-4D5A-8826-0E7F9803BF6D}"/>
    <cellStyle name="Comma 2 2 2 2 2 2" xfId="985" xr:uid="{8FCFE901-8616-4EDF-8818-A1416DCE5489}"/>
    <cellStyle name="Comma 2 2 2 2 2 3" xfId="1496" xr:uid="{5A4DD260-D202-4704-8699-B163B5168A2C}"/>
    <cellStyle name="Comma 2 2 2 2 3" xfId="139" xr:uid="{3830EEA3-57BF-4B39-85E3-FA25DB84DA9D}"/>
    <cellStyle name="Comma 2 2 2 2 3 2" xfId="1365" xr:uid="{27F011AF-F9CE-41A3-82BF-89C8DF0F0B50}"/>
    <cellStyle name="Comma 2 2 2 2 4" xfId="597" xr:uid="{22179C08-E540-4411-8128-DC4E42028E00}"/>
    <cellStyle name="Comma 2 2 2 2 5" xfId="703" xr:uid="{9707A79C-1EB3-4269-8680-E20D2654A697}"/>
    <cellStyle name="Comma 2 2 2 2 6" xfId="854" xr:uid="{1F0D7572-18D8-4D28-B886-64B1CB73A2DB}"/>
    <cellStyle name="Comma 2 2 2 2 7" xfId="1214" xr:uid="{D8CC01FA-7CDC-4CD0-ADFC-6B4747C824DE}"/>
    <cellStyle name="Comma 2 2 2 3" xfId="140" xr:uid="{F65985D4-F9A7-43DC-B1A2-81ED9A47305A}"/>
    <cellStyle name="Comma 2 2 2 3 2" xfId="912" xr:uid="{5D21FEE3-559B-4542-A2F6-A55355700218}"/>
    <cellStyle name="Comma 2 2 2 3 3" xfId="1423" xr:uid="{DD2D52AB-9BEB-42CB-8E73-65ECAD468F1F}"/>
    <cellStyle name="Comma 2 2 2 4" xfId="471" xr:uid="{20A865DE-68D5-43E7-8051-C4820484DF71}"/>
    <cellStyle name="Comma 2 2 2 4 2" xfId="1054" xr:uid="{3097F5A9-B979-4D72-87C8-3C2C2B78B18B}"/>
    <cellStyle name="Comma 2 2 2 4 3" xfId="1353" xr:uid="{E98F8A93-45D5-4334-814C-2CA5381D9677}"/>
    <cellStyle name="Comma 2 2 2 5" xfId="640" xr:uid="{0FBEDDE2-78CE-43C5-9E10-7EEB916D02F3}"/>
    <cellStyle name="Comma 2 2 2 5 2" xfId="1539" xr:uid="{40F7B0B3-A886-470A-A6CE-2A23036B58E8}"/>
    <cellStyle name="Comma 2 2 2 6" xfId="842" xr:uid="{71FC4E43-8C73-4819-A1FD-C1A2A1902E6B}"/>
    <cellStyle name="Comma 2 2 3" xfId="141" xr:uid="{8100DCFD-D954-4574-A87C-C2886FAD640B}"/>
    <cellStyle name="Comma 2 2 3 2" xfId="142" xr:uid="{F397AE53-6486-4E3A-AA11-0F06023CEE58}"/>
    <cellStyle name="Comma 2 2 3 2 2" xfId="913" xr:uid="{ABB00634-30FA-420F-82A8-1A6913097746}"/>
    <cellStyle name="Comma 2 2 3 2 3" xfId="1424" xr:uid="{FA5EB04E-002E-458E-9003-EAB4FCB727CC}"/>
    <cellStyle name="Comma 2 2 3 3" xfId="472" xr:uid="{1C187F54-813C-4D4D-B1EF-AA70F0B2AE6E}"/>
    <cellStyle name="Comma 2 2 3 3 2" xfId="1358" xr:uid="{732A74F6-BD46-4675-A409-894B01F10868}"/>
    <cellStyle name="Comma 2 2 3 4" xfId="641" xr:uid="{27A7FEE3-C94A-4778-99C3-E7EF4D0C9A95}"/>
    <cellStyle name="Comma 2 2 3 5" xfId="848" xr:uid="{E241447E-34BB-4DED-96B8-8987C72A4ED2}"/>
    <cellStyle name="Comma 2 2 3 6" xfId="1213" xr:uid="{86A30A43-A5A3-4739-A90D-3828F7FEE974}"/>
    <cellStyle name="Comma 2 2 4" xfId="143" xr:uid="{1EDE001E-AC3A-40AB-8A3C-A81BEEDABAA8}"/>
    <cellStyle name="Comma 2 2 4 2" xfId="144" xr:uid="{423CAC76-67FC-4E16-9901-513628E1F2B1}"/>
    <cellStyle name="Comma 2 2 4 2 2" xfId="145" xr:uid="{3B7D3D64-E9FE-4DF2-BC11-390131C42F54}"/>
    <cellStyle name="Comma 2 2 4 2 2 2" xfId="1016" xr:uid="{8E880160-3A16-41EB-97A0-DD1067ABD8A1}"/>
    <cellStyle name="Comma 2 2 4 2 2 3" xfId="1527" xr:uid="{CCFE7C3B-8BAE-400C-9B41-25675AC6B1A3}"/>
    <cellStyle name="Comma 2 2 4 2 3" xfId="914" xr:uid="{35BC5B64-D005-49CF-BB5B-04154808D79B}"/>
    <cellStyle name="Comma 2 2 4 2 4" xfId="1425" xr:uid="{D3EF09B5-F0CE-4085-A0A3-83BC647791AC}"/>
    <cellStyle name="Comma 2 2 4 3" xfId="146" xr:uid="{CB2CB7F8-FFFB-41BD-9A00-3101543DAD58}"/>
    <cellStyle name="Comma 2 2 4 3 2" xfId="969" xr:uid="{3B1FA691-09BE-463E-82E2-0A08CD2C10B4}"/>
    <cellStyle name="Comma 2 2 4 3 3" xfId="1480" xr:uid="{E14E6F32-F1B1-4E38-ACA2-5A855FE9DAC1}"/>
    <cellStyle name="Comma 2 2 4 4" xfId="473" xr:uid="{05C9D59A-2930-44CC-B1F4-063776DD92AC}"/>
    <cellStyle name="Comma 2 2 4 5" xfId="642" xr:uid="{2F52389E-C506-4D01-A03E-C73478ABC52D}"/>
    <cellStyle name="Comma 2 2 4 6" xfId="1279" xr:uid="{6FC26B95-6DD5-4407-A73F-21D050E484AC}"/>
    <cellStyle name="Comma 2 2 5" xfId="147" xr:uid="{516987AD-9C3E-45C9-834D-8BEFE377E205}"/>
    <cellStyle name="Comma 2 2 5 2" xfId="148" xr:uid="{C7950F06-DC53-47C0-A797-55AAB2BC94E6}"/>
    <cellStyle name="Comma 2 2 5 2 2" xfId="1000" xr:uid="{C84A080A-9ECD-4744-AEC4-BC7D6E5CE183}"/>
    <cellStyle name="Comma 2 2 5 2 3" xfId="1511" xr:uid="{15893895-644F-4610-A433-077B9230BE1C}"/>
    <cellStyle name="Comma 2 2 5 3" xfId="869" xr:uid="{D920605B-33FC-439B-85EC-1ABFD156DC4C}"/>
    <cellStyle name="Comma 2 2 5 4" xfId="1380" xr:uid="{9D1CA353-CBC8-4BAE-B430-6265C611577A}"/>
    <cellStyle name="Comma 2 2 6" xfId="149" xr:uid="{78D469E6-7C5F-4F46-BDDE-70C520F4292E}"/>
    <cellStyle name="Comma 2 2 6 2" xfId="150" xr:uid="{14705C25-FA99-448A-BDC1-6DD562E8B713}"/>
    <cellStyle name="Comma 2 2 6 2 2" xfId="1009" xr:uid="{25CE65A1-F9DF-4E7A-A686-052576679295}"/>
    <cellStyle name="Comma 2 2 6 2 3" xfId="1520" xr:uid="{01055843-ADEE-4D12-9A91-5210F32CC5F1}"/>
    <cellStyle name="Comma 2 2 6 3" xfId="878" xr:uid="{EEAE92B2-5DAE-4669-8604-521114629876}"/>
    <cellStyle name="Comma 2 2 6 4" xfId="1389" xr:uid="{0ACEC69F-9318-4C10-BBCA-46879C3EBAF1}"/>
    <cellStyle name="Comma 2 2 7" xfId="151" xr:uid="{C756413A-DC7F-4B8C-AAE7-74AC89101E48}"/>
    <cellStyle name="Comma 2 2 7 2" xfId="911" xr:uid="{24D67C42-79C4-40C4-87C7-66A718628055}"/>
    <cellStyle name="Comma 2 2 7 3" xfId="1422" xr:uid="{9ED99A6E-0C91-46A5-A513-C7694ED11F6F}"/>
    <cellStyle name="Comma 2 2 8" xfId="382" xr:uid="{8856CBE6-16B3-4564-BFE6-F32C52DD7B4D}"/>
    <cellStyle name="Comma 2 2 8 2" xfId="1288" xr:uid="{206E90FF-DE94-4FB3-A6E0-EF832FB506A4}"/>
    <cellStyle name="Comma 2 2 9" xfId="395" xr:uid="{3132148F-7B02-41A7-80F6-DBF41532B9A8}"/>
    <cellStyle name="Comma 2 20" xfId="152" xr:uid="{1C5E5206-81D9-4E2D-B656-A3E4490FA287}"/>
    <cellStyle name="Comma 2 20 2" xfId="153" xr:uid="{87BB217E-A4F5-4434-BAC7-186142763523}"/>
    <cellStyle name="Comma 2 20 2 2" xfId="154" xr:uid="{E78CED65-CDDB-4E54-B8EC-888E7A581DBE}"/>
    <cellStyle name="Comma 2 20 2 2 2" xfId="916" xr:uid="{B2A80FD0-E51A-4CCE-B7F6-F85BA79F3218}"/>
    <cellStyle name="Comma 2 20 2 2 2 2" xfId="1427" xr:uid="{217D08CB-A028-4A48-970C-AE848E4D5104}"/>
    <cellStyle name="Comma 2 20 2 2 3" xfId="1216" xr:uid="{2324F3DC-D981-42AC-9CEB-1DF36E4E2707}"/>
    <cellStyle name="Comma 2 20 2 3" xfId="475" xr:uid="{514C71A8-13BA-428E-89C5-0A52C0F2DD33}"/>
    <cellStyle name="Comma 2 20 2 3 2" xfId="1317" xr:uid="{3E7C3AC3-FABB-4632-8E50-0E52E253B015}"/>
    <cellStyle name="Comma 2 20 2 4" xfId="644" xr:uid="{1ED2CA54-2E96-48F0-89FC-ADE103E0CBDC}"/>
    <cellStyle name="Comma 2 20 2 5" xfId="807" xr:uid="{BCE3F344-8F04-4178-BBA5-629921576789}"/>
    <cellStyle name="Comma 2 20 2 6" xfId="1096" xr:uid="{021CF433-A58D-439E-B577-A5784BBFA2A8}"/>
    <cellStyle name="Comma 2 20 3" xfId="155" xr:uid="{3E7130AA-4FC2-4072-9A6A-9D77A63863FA}"/>
    <cellStyle name="Comma 2 20 3 2" xfId="915" xr:uid="{A1351353-4A78-4D1D-AEC7-17552380B97B}"/>
    <cellStyle name="Comma 2 20 3 2 2" xfId="1426" xr:uid="{30A188AC-8B36-4318-9925-EC1EED648A6E}"/>
    <cellStyle name="Comma 2 20 3 3" xfId="1215" xr:uid="{6E627790-4749-4D37-849F-0E844C5F4C2F}"/>
    <cellStyle name="Comma 2 20 4" xfId="474" xr:uid="{E4F9C82C-FFFE-42A1-87FF-48A82F504C6C}"/>
    <cellStyle name="Comma 2 20 4 2" xfId="1316" xr:uid="{6D00D9DE-EAC0-4DDC-A1B3-26C5F4BBFC4D}"/>
    <cellStyle name="Comma 2 20 5" xfId="643" xr:uid="{EBE0DF9D-3216-4201-83F2-4D1E14EDFF71}"/>
    <cellStyle name="Comma 2 20 6" xfId="806" xr:uid="{9F6CE45D-DF5E-4591-952A-A834903EE525}"/>
    <cellStyle name="Comma 2 20 7" xfId="1095" xr:uid="{6B309FDA-5C26-4622-8356-DE5CDCF200F6}"/>
    <cellStyle name="Comma 2 21" xfId="156" xr:uid="{2B2E2249-8106-4A90-B8BA-64A67B09318B}"/>
    <cellStyle name="Comma 2 21 2" xfId="157" xr:uid="{08B6E2B4-1D8A-4CE2-A9C9-582341B36B81}"/>
    <cellStyle name="Comma 2 21 2 2" xfId="158" xr:uid="{69149F7B-285C-4690-B9EC-01F2B26690EC}"/>
    <cellStyle name="Comma 2 21 2 2 2" xfId="918" xr:uid="{DE8347CA-770D-49D0-B286-4A5BB6C5F23B}"/>
    <cellStyle name="Comma 2 21 2 2 2 2" xfId="1429" xr:uid="{44A86879-3E02-48B6-AF31-5309234B2C18}"/>
    <cellStyle name="Comma 2 21 2 2 3" xfId="1218" xr:uid="{637FEA67-2697-489F-B9E8-657E567C2E6F}"/>
    <cellStyle name="Comma 2 21 2 3" xfId="477" xr:uid="{78E816EF-1BAB-402B-8F64-37CCC198A846}"/>
    <cellStyle name="Comma 2 21 2 3 2" xfId="1319" xr:uid="{45DD0D9A-8537-4895-9774-D8CCE9581D39}"/>
    <cellStyle name="Comma 2 21 2 4" xfId="646" xr:uid="{E2D5F5D5-216E-426C-8ECF-1B80FD697CEB}"/>
    <cellStyle name="Comma 2 21 2 5" xfId="809" xr:uid="{C294138F-D6B7-498D-AFD7-AEF6494C3762}"/>
    <cellStyle name="Comma 2 21 2 6" xfId="1098" xr:uid="{C75B1F29-20E1-4586-9A99-0EAAB3DAC46A}"/>
    <cellStyle name="Comma 2 21 3" xfId="159" xr:uid="{A4D85703-1F53-4DD8-B99E-B37251520117}"/>
    <cellStyle name="Comma 2 21 3 2" xfId="917" xr:uid="{063BF291-DA63-4184-96A5-9B97F97D077E}"/>
    <cellStyle name="Comma 2 21 3 2 2" xfId="1428" xr:uid="{DA043D75-6AC4-4BB1-81A9-DBE9956240EB}"/>
    <cellStyle name="Comma 2 21 3 3" xfId="1217" xr:uid="{F56A6348-3D65-488D-BD33-F3974A1D7C24}"/>
    <cellStyle name="Comma 2 21 4" xfId="476" xr:uid="{AB19ACDB-58AD-4E78-BC62-D07142929B09}"/>
    <cellStyle name="Comma 2 21 4 2" xfId="1318" xr:uid="{E9934E82-A6F2-4135-85E0-347C52EC747F}"/>
    <cellStyle name="Comma 2 21 5" xfId="645" xr:uid="{8E7CCBBA-3786-476F-8D87-DA1EA45C5729}"/>
    <cellStyle name="Comma 2 21 6" xfId="808" xr:uid="{958C2AA0-BD6E-47E6-B657-73EC64B065FE}"/>
    <cellStyle name="Comma 2 21 7" xfId="1097" xr:uid="{C5CC1D1F-8B76-41FB-9731-5C1F8B39AEB8}"/>
    <cellStyle name="Comma 2 22" xfId="160" xr:uid="{7C2E71FE-12F6-4BAA-ADC4-C9C97A3EDC6A}"/>
    <cellStyle name="Comma 2 22 2" xfId="161" xr:uid="{1A928779-267E-4043-A77B-20DC1B3723CF}"/>
    <cellStyle name="Comma 2 22 2 2" xfId="162" xr:uid="{3CCA182F-1382-4EC4-AFF1-EE376F3E7CE5}"/>
    <cellStyle name="Comma 2 22 2 2 2" xfId="920" xr:uid="{3A29ABC8-4D5D-419C-AAB4-78C5BACD4C70}"/>
    <cellStyle name="Comma 2 22 2 2 2 2" xfId="1431" xr:uid="{7059AC3F-8DC2-4DA9-974F-D148149D95D2}"/>
    <cellStyle name="Comma 2 22 2 2 3" xfId="1220" xr:uid="{A569772E-7B71-4DA4-B3FF-6622115BFBD8}"/>
    <cellStyle name="Comma 2 22 2 3" xfId="479" xr:uid="{7DF4093C-5A05-4A19-9669-24996B2503E1}"/>
    <cellStyle name="Comma 2 22 2 3 2" xfId="1321" xr:uid="{373ACA56-6C32-41D1-B4B7-6935B0A01795}"/>
    <cellStyle name="Comma 2 22 2 4" xfId="648" xr:uid="{945F4311-F265-4606-BA32-2FFF458B7D51}"/>
    <cellStyle name="Comma 2 22 2 5" xfId="811" xr:uid="{88B71E41-C62D-45D1-9C13-01D1A8A8752B}"/>
    <cellStyle name="Comma 2 22 2 6" xfId="1100" xr:uid="{3B797E7E-BDD3-4E92-8F62-1DB69E021370}"/>
    <cellStyle name="Comma 2 22 3" xfId="163" xr:uid="{33756B1E-C10C-4251-BFFF-DDB91A6EFEFE}"/>
    <cellStyle name="Comma 2 22 3 2" xfId="919" xr:uid="{97E8A420-0E18-4E38-A3B5-670C2944A414}"/>
    <cellStyle name="Comma 2 22 3 2 2" xfId="1430" xr:uid="{07887417-0526-49B2-8329-CADF7B46870E}"/>
    <cellStyle name="Comma 2 22 3 3" xfId="1219" xr:uid="{78781C0D-CDA5-491F-B115-DFDDAB4351D2}"/>
    <cellStyle name="Comma 2 22 4" xfId="478" xr:uid="{1BD2DB27-0882-4318-8265-AE441B87196B}"/>
    <cellStyle name="Comma 2 22 4 2" xfId="1320" xr:uid="{5A038ABF-4A69-49B4-B514-BABEA21585E3}"/>
    <cellStyle name="Comma 2 22 5" xfId="647" xr:uid="{F0E7434F-8625-4536-9834-7C3F489FDD47}"/>
    <cellStyle name="Comma 2 22 6" xfId="810" xr:uid="{4EA51784-74FD-4225-872E-063F3196B766}"/>
    <cellStyle name="Comma 2 22 7" xfId="1099" xr:uid="{65D4A20E-6D5B-4145-B4BD-6BAB579DCDC3}"/>
    <cellStyle name="Comma 2 23" xfId="164" xr:uid="{F26B9E3B-5849-44ED-B540-A29D1934BA98}"/>
    <cellStyle name="Comma 2 23 2" xfId="165" xr:uid="{42A5AE0B-3AFB-42CC-8492-FF35E96F7CE0}"/>
    <cellStyle name="Comma 2 23 2 2" xfId="166" xr:uid="{A64ED594-217D-476A-A09C-0330CF2E13D8}"/>
    <cellStyle name="Comma 2 23 2 2 2" xfId="922" xr:uid="{CAFFCCD8-9B8B-4C69-A960-E9E06CBBA3DA}"/>
    <cellStyle name="Comma 2 23 2 2 2 2" xfId="1433" xr:uid="{3DEA19A6-3356-4B81-9FE1-CA242A958300}"/>
    <cellStyle name="Comma 2 23 2 2 3" xfId="1222" xr:uid="{60708369-6DC1-4660-BF5F-1757B84BD0B2}"/>
    <cellStyle name="Comma 2 23 2 3" xfId="481" xr:uid="{91057E41-C6DB-4EDC-B084-80DE27D23C41}"/>
    <cellStyle name="Comma 2 23 2 3 2" xfId="1323" xr:uid="{CD669715-6F66-4629-992A-9A34FCC7FB9A}"/>
    <cellStyle name="Comma 2 23 2 4" xfId="650" xr:uid="{C72EE6F8-DB96-46B2-A76A-4BCC4AC59878}"/>
    <cellStyle name="Comma 2 23 2 5" xfId="813" xr:uid="{CEA5DAB4-017B-4287-8B23-AFE24B3CEEBC}"/>
    <cellStyle name="Comma 2 23 2 6" xfId="1102" xr:uid="{30902BF3-9A97-43EA-9FCA-17B8372A67F4}"/>
    <cellStyle name="Comma 2 23 3" xfId="167" xr:uid="{14CF6995-9585-4255-8733-C0C070D58F13}"/>
    <cellStyle name="Comma 2 23 3 2" xfId="921" xr:uid="{EE9604DF-E406-48BE-9A70-712EFC02EE81}"/>
    <cellStyle name="Comma 2 23 3 2 2" xfId="1432" xr:uid="{3B5C7120-31FB-483F-BE56-55701943EB50}"/>
    <cellStyle name="Comma 2 23 3 3" xfId="1221" xr:uid="{10A5AFAB-625D-4A7C-A76F-273ADB8DE3D4}"/>
    <cellStyle name="Comma 2 23 4" xfId="480" xr:uid="{AFC69639-466A-46C9-9DA6-5EF883ADA790}"/>
    <cellStyle name="Comma 2 23 4 2" xfId="1322" xr:uid="{E4852391-3A2E-4D37-AFD9-F6B304850C34}"/>
    <cellStyle name="Comma 2 23 5" xfId="649" xr:uid="{CC470ABE-6DB4-4F34-B1BF-3D74D3D83978}"/>
    <cellStyle name="Comma 2 23 6" xfId="812" xr:uid="{D2FE0E2E-1A60-4865-838E-969120989FDC}"/>
    <cellStyle name="Comma 2 23 7" xfId="1101" xr:uid="{3F9D705B-DE09-4468-B18B-160B2A95DF55}"/>
    <cellStyle name="Comma 2 24" xfId="168" xr:uid="{7F7D83F8-9714-4698-900D-FC0B46217557}"/>
    <cellStyle name="Comma 2 24 2" xfId="169" xr:uid="{A22271C8-B3B9-4995-889E-35C962419A64}"/>
    <cellStyle name="Comma 2 24 2 2" xfId="170" xr:uid="{E8EB1DE1-FB2A-4750-BA57-2423F44E6738}"/>
    <cellStyle name="Comma 2 24 2 2 2" xfId="924" xr:uid="{2C75A86E-1ACC-49C9-A3A6-F1A87D774463}"/>
    <cellStyle name="Comma 2 24 2 2 2 2" xfId="1435" xr:uid="{30D241B8-7A0E-4EFA-9B24-87B731E43344}"/>
    <cellStyle name="Comma 2 24 2 2 3" xfId="1224" xr:uid="{AA0D0169-746A-4BB6-9083-1F3D1D141F01}"/>
    <cellStyle name="Comma 2 24 2 3" xfId="483" xr:uid="{17B1BF2B-5FBC-4029-8612-B07A54876777}"/>
    <cellStyle name="Comma 2 24 2 3 2" xfId="1325" xr:uid="{A2D10441-23A6-4249-AE92-3660E9939472}"/>
    <cellStyle name="Comma 2 24 2 4" xfId="652" xr:uid="{29BA8C51-5FC7-4CD6-9AC0-0E92E23657F7}"/>
    <cellStyle name="Comma 2 24 2 5" xfId="815" xr:uid="{4B9DAFB3-3B75-4459-AC4D-8EEFBB43D621}"/>
    <cellStyle name="Comma 2 24 2 6" xfId="1104" xr:uid="{B24A410C-F1CD-49B7-BE7C-59F37E747D04}"/>
    <cellStyle name="Comma 2 24 3" xfId="171" xr:uid="{0975957B-1984-4ED2-B97D-778338726D7A}"/>
    <cellStyle name="Comma 2 24 3 2" xfId="923" xr:uid="{FE546063-8832-45E3-B298-252F1285D5D2}"/>
    <cellStyle name="Comma 2 24 3 2 2" xfId="1434" xr:uid="{3750F32D-48F4-4C20-946A-F8AA9532CCF2}"/>
    <cellStyle name="Comma 2 24 3 3" xfId="1223" xr:uid="{3C183A3B-D5E7-427D-9F70-39AB6146C941}"/>
    <cellStyle name="Comma 2 24 4" xfId="482" xr:uid="{3D282D03-B51F-4B21-B11D-EB74909D2074}"/>
    <cellStyle name="Comma 2 24 4 2" xfId="1324" xr:uid="{991D72C8-D73B-47D0-8704-8946DB1958DC}"/>
    <cellStyle name="Comma 2 24 5" xfId="651" xr:uid="{E0291057-C918-4279-A5DC-5FEB818185F2}"/>
    <cellStyle name="Comma 2 24 6" xfId="814" xr:uid="{A64CD562-8FF3-4C7B-98C6-C876020ECB58}"/>
    <cellStyle name="Comma 2 24 7" xfId="1103" xr:uid="{C075C90E-55F0-4455-8979-F2AD1BB453E8}"/>
    <cellStyle name="Comma 2 25" xfId="172" xr:uid="{FDC59A3B-0E67-48BA-A090-AF00A3941543}"/>
    <cellStyle name="Comma 2 25 2" xfId="173" xr:uid="{A68238BE-7A39-4F68-8B57-575B94A61699}"/>
    <cellStyle name="Comma 2 25 2 2" xfId="174" xr:uid="{9BA1C38C-E7E0-4852-90B1-041A4597F692}"/>
    <cellStyle name="Comma 2 25 2 2 2" xfId="926" xr:uid="{504C2F1A-39AC-407D-BC90-17FFFDEEFC3F}"/>
    <cellStyle name="Comma 2 25 2 2 2 2" xfId="1437" xr:uid="{972B8E42-EF14-4F06-A12F-2F739E3A654A}"/>
    <cellStyle name="Comma 2 25 2 2 3" xfId="1226" xr:uid="{E521C22F-86AF-4383-A977-5A34E8836D37}"/>
    <cellStyle name="Comma 2 25 2 3" xfId="485" xr:uid="{4FAD8C84-2421-4F32-AAF1-869547CB76D0}"/>
    <cellStyle name="Comma 2 25 2 3 2" xfId="1327" xr:uid="{EE342BBB-323C-4DAE-990B-59AF619312E3}"/>
    <cellStyle name="Comma 2 25 2 4" xfId="654" xr:uid="{97ED4D80-5A6F-4655-B78E-E5DFC8ADBA6C}"/>
    <cellStyle name="Comma 2 25 2 5" xfId="817" xr:uid="{EEDEE9FF-3388-4CBB-AE32-1A73573772F7}"/>
    <cellStyle name="Comma 2 25 2 6" xfId="1106" xr:uid="{479A4539-3A86-434E-8249-AE5769982870}"/>
    <cellStyle name="Comma 2 25 3" xfId="175" xr:uid="{69977A06-0CC8-4ACB-AE72-14E717544FBB}"/>
    <cellStyle name="Comma 2 25 3 2" xfId="925" xr:uid="{8D333D6D-024D-4BAD-9BD4-295F5D78A74A}"/>
    <cellStyle name="Comma 2 25 3 2 2" xfId="1436" xr:uid="{F191C586-27E5-4FE5-B700-B60B7FD453D0}"/>
    <cellStyle name="Comma 2 25 3 3" xfId="1225" xr:uid="{4EF0EC05-2AE8-4887-974B-5100B9695089}"/>
    <cellStyle name="Comma 2 25 4" xfId="484" xr:uid="{1F797BAC-9A7E-4DBF-9790-5204E63EE407}"/>
    <cellStyle name="Comma 2 25 4 2" xfId="1326" xr:uid="{027E4292-D7DB-499A-9627-D69999F8C902}"/>
    <cellStyle name="Comma 2 25 5" xfId="653" xr:uid="{8B510BC5-0CC8-4DBD-A234-92CFEA3C6AB9}"/>
    <cellStyle name="Comma 2 25 6" xfId="816" xr:uid="{6254EC39-CD9E-4543-BA39-BC9256FA38AE}"/>
    <cellStyle name="Comma 2 25 7" xfId="1105" xr:uid="{F1436F1C-B8E7-4DA5-B081-0BA13F8BC66D}"/>
    <cellStyle name="Comma 2 26" xfId="176" xr:uid="{0C0179D0-B3E9-4198-8CC5-0F55093C2846}"/>
    <cellStyle name="Comma 2 26 2" xfId="177" xr:uid="{9006517C-89D9-42C7-82BB-0ACE82D55248}"/>
    <cellStyle name="Comma 2 26 2 2" xfId="178" xr:uid="{096723B4-47A1-4DE0-A74F-43FE2FACD406}"/>
    <cellStyle name="Comma 2 26 2 2 2" xfId="928" xr:uid="{04CFBD5B-8B2C-4943-B9F2-A15F8C492A7E}"/>
    <cellStyle name="Comma 2 26 2 2 2 2" xfId="1439" xr:uid="{A8857EDC-2ADA-4E57-A115-8276BDFD2D4B}"/>
    <cellStyle name="Comma 2 26 2 2 3" xfId="1228" xr:uid="{E1F5C536-841D-4255-B250-B81070C83B84}"/>
    <cellStyle name="Comma 2 26 2 3" xfId="487" xr:uid="{77B894E6-54E3-4428-B867-1280FEBB8042}"/>
    <cellStyle name="Comma 2 26 2 3 2" xfId="1329" xr:uid="{615985A3-346C-43AF-AE51-933A8ACAE0EC}"/>
    <cellStyle name="Comma 2 26 2 4" xfId="656" xr:uid="{EFCF12AD-CF9E-4CBA-804D-BF595A74DBD0}"/>
    <cellStyle name="Comma 2 26 2 5" xfId="819" xr:uid="{DAA1CB59-8767-436A-A6E8-459836F52034}"/>
    <cellStyle name="Comma 2 26 2 6" xfId="1108" xr:uid="{CE7A6720-E714-49E1-9E5E-60EABAB03A4C}"/>
    <cellStyle name="Comma 2 26 3" xfId="179" xr:uid="{21763578-905C-4D9B-B882-1266DC46C2DB}"/>
    <cellStyle name="Comma 2 26 3 2" xfId="927" xr:uid="{4A6AC7FF-870A-4DF8-A3BB-316869058E7B}"/>
    <cellStyle name="Comma 2 26 3 2 2" xfId="1438" xr:uid="{96CC7932-2E56-4350-9CA5-AC476220E038}"/>
    <cellStyle name="Comma 2 26 3 3" xfId="1227" xr:uid="{3CB7224C-94EF-46E4-8B30-0E9D00582450}"/>
    <cellStyle name="Comma 2 26 4" xfId="486" xr:uid="{14201436-8BE2-4A14-897F-733F4EAD5EA8}"/>
    <cellStyle name="Comma 2 26 4 2" xfId="1328" xr:uid="{831FCACF-29BD-4F45-A173-B6123632261C}"/>
    <cellStyle name="Comma 2 26 5" xfId="655" xr:uid="{BFB0C6DE-BA92-40BC-8A3D-0F809916C9E0}"/>
    <cellStyle name="Comma 2 26 6" xfId="818" xr:uid="{D3114AEA-9A92-49B6-85C3-F8C7C13898E0}"/>
    <cellStyle name="Comma 2 26 7" xfId="1107" xr:uid="{DFED6A1D-1B27-4932-AD64-E6D52833380D}"/>
    <cellStyle name="Comma 2 27" xfId="180" xr:uid="{3EE3E327-AD20-4FB7-97AF-76C46683AC02}"/>
    <cellStyle name="Comma 2 27 2" xfId="181" xr:uid="{B4598F60-D2AF-41F5-B7D9-9664B7DEF079}"/>
    <cellStyle name="Comma 2 27 2 2" xfId="182" xr:uid="{D5A93B71-4F34-4F26-BB13-61C9FA1E6080}"/>
    <cellStyle name="Comma 2 27 2 2 2" xfId="930" xr:uid="{1518D50E-C6C0-4867-8A85-96263B22D2B6}"/>
    <cellStyle name="Comma 2 27 2 2 2 2" xfId="1441" xr:uid="{2F28A504-2B1D-4830-BF20-CA8F8AEA3740}"/>
    <cellStyle name="Comma 2 27 2 2 3" xfId="1230" xr:uid="{F401191D-94FC-46C2-A9FE-8DE5E2B78A68}"/>
    <cellStyle name="Comma 2 27 2 3" xfId="489" xr:uid="{03B1100F-F284-46A5-A746-EB630B0A96F1}"/>
    <cellStyle name="Comma 2 27 2 3 2" xfId="1331" xr:uid="{3AB082E6-9B81-490A-83B1-6A6BB41FFE0F}"/>
    <cellStyle name="Comma 2 27 2 4" xfId="658" xr:uid="{BAEEDEC7-874D-46DE-BBA7-189B9178B2D2}"/>
    <cellStyle name="Comma 2 27 2 5" xfId="821" xr:uid="{D858FA0C-F9B6-4CD0-A69E-09EB472A6022}"/>
    <cellStyle name="Comma 2 27 2 6" xfId="1110" xr:uid="{1BA2AB83-6BF9-4B6D-925F-4FABB2B45DCF}"/>
    <cellStyle name="Comma 2 27 3" xfId="183" xr:uid="{F82C98EB-C406-40E9-BDD0-1067718617ED}"/>
    <cellStyle name="Comma 2 27 3 2" xfId="929" xr:uid="{BD85C5BC-CDC2-4DA0-A8DE-947B53264DAD}"/>
    <cellStyle name="Comma 2 27 3 2 2" xfId="1440" xr:uid="{8FD25AD7-951B-4795-A874-6C8DFD7F87E9}"/>
    <cellStyle name="Comma 2 27 3 3" xfId="1229" xr:uid="{6FB81095-E2BF-497E-88D2-ABB72BA6D1DA}"/>
    <cellStyle name="Comma 2 27 4" xfId="488" xr:uid="{B6A287E8-4E9C-430D-A3F1-445B1D43C28B}"/>
    <cellStyle name="Comma 2 27 4 2" xfId="1330" xr:uid="{8F41B08F-B223-4A4B-9D2A-D43DA1160C40}"/>
    <cellStyle name="Comma 2 27 5" xfId="657" xr:uid="{0AEA135C-269D-497C-97C8-7AC188B18DC7}"/>
    <cellStyle name="Comma 2 27 6" xfId="820" xr:uid="{9A931AAB-A7D1-4746-BEA3-91D1F11F98EC}"/>
    <cellStyle name="Comma 2 27 7" xfId="1109" xr:uid="{86EE0874-B25E-4F73-869C-D07519AEA5E1}"/>
    <cellStyle name="Comma 2 28" xfId="184" xr:uid="{4AC510FF-F61C-402E-8176-E5BCC2FF4920}"/>
    <cellStyle name="Comma 2 28 2" xfId="185" xr:uid="{645AA8D6-D4EC-4155-A0EE-20157290837D}"/>
    <cellStyle name="Comma 2 28 2 2" xfId="186" xr:uid="{1599E89E-525E-4B8B-8E64-A1C09B190EB0}"/>
    <cellStyle name="Comma 2 28 2 2 2" xfId="932" xr:uid="{795B0DD9-D84A-457A-A45D-A4A6A147F394}"/>
    <cellStyle name="Comma 2 28 2 2 2 2" xfId="1443" xr:uid="{BCD270DE-528C-47CD-BC3C-C30CE14350EC}"/>
    <cellStyle name="Comma 2 28 2 2 3" xfId="1232" xr:uid="{174393FB-BBA9-4650-A088-564AE298E8DC}"/>
    <cellStyle name="Comma 2 28 2 3" xfId="491" xr:uid="{8DC9C947-2C91-41B5-B99B-415F4123FF57}"/>
    <cellStyle name="Comma 2 28 2 3 2" xfId="1333" xr:uid="{BC0733DB-144E-484E-8242-AAC087FF6BAE}"/>
    <cellStyle name="Comma 2 28 2 4" xfId="660" xr:uid="{C48F8B60-2F75-48F9-8508-A86ECC0C26DB}"/>
    <cellStyle name="Comma 2 28 2 5" xfId="823" xr:uid="{81A94C2B-0A5C-49C1-A105-83369C83F9CD}"/>
    <cellStyle name="Comma 2 28 2 6" xfId="1112" xr:uid="{AAADFC94-1C8C-4E27-BCF3-AE1D3764C5EF}"/>
    <cellStyle name="Comma 2 28 3" xfId="187" xr:uid="{C691EE2D-0F21-4CDE-849F-C4B413D44A2E}"/>
    <cellStyle name="Comma 2 28 3 2" xfId="931" xr:uid="{9548D0EA-06E2-4F07-B32C-DFB31A622384}"/>
    <cellStyle name="Comma 2 28 3 2 2" xfId="1442" xr:uid="{EA30A09C-98A7-4844-BEED-F30C78A7BD67}"/>
    <cellStyle name="Comma 2 28 3 3" xfId="1231" xr:uid="{1AB2ED29-C43B-46AB-9D76-AFB86197A64A}"/>
    <cellStyle name="Comma 2 28 4" xfId="490" xr:uid="{6074D9C2-A02E-44F8-A4A4-922587FD7B1D}"/>
    <cellStyle name="Comma 2 28 4 2" xfId="1332" xr:uid="{3DAB2238-EF74-42D7-AB9D-3BA89ABDC239}"/>
    <cellStyle name="Comma 2 28 5" xfId="659" xr:uid="{2039B122-A9C5-445F-85E1-AACAB9051C6C}"/>
    <cellStyle name="Comma 2 28 6" xfId="822" xr:uid="{A26D047D-5F21-482D-A6AD-A329577432B9}"/>
    <cellStyle name="Comma 2 28 7" xfId="1111" xr:uid="{7A87BB6D-7161-4975-B100-0D8A7798F93F}"/>
    <cellStyle name="Comma 2 29" xfId="188" xr:uid="{C98470F1-520A-482B-A9FB-BFCABAA3E31D}"/>
    <cellStyle name="Comma 2 29 2" xfId="189" xr:uid="{2A5BEA54-7F45-4A69-90C1-F1DA942C6E40}"/>
    <cellStyle name="Comma 2 29 2 2" xfId="190" xr:uid="{A14E6664-6332-4535-9C32-7A1760DC4661}"/>
    <cellStyle name="Comma 2 29 2 2 2" xfId="934" xr:uid="{4383CBED-F9F4-488E-9D1F-0277E61DBFC1}"/>
    <cellStyle name="Comma 2 29 2 2 2 2" xfId="1445" xr:uid="{1201B443-6C5E-44F1-9627-AE7D58E97C62}"/>
    <cellStyle name="Comma 2 29 2 2 3" xfId="1234" xr:uid="{6388D5DD-5A73-466C-BCBA-1BF045722A27}"/>
    <cellStyle name="Comma 2 29 2 3" xfId="493" xr:uid="{2CBE6FAC-CFDE-4B86-9001-7BC57F9926EB}"/>
    <cellStyle name="Comma 2 29 2 3 2" xfId="1335" xr:uid="{107CCC03-C4F5-4163-A655-6C065C7B65DA}"/>
    <cellStyle name="Comma 2 29 2 4" xfId="662" xr:uid="{20FA0123-FC70-4897-9B79-FAC2637B0480}"/>
    <cellStyle name="Comma 2 29 2 5" xfId="825" xr:uid="{76005725-2AA7-4C69-AC63-72D33CB6A97E}"/>
    <cellStyle name="Comma 2 29 2 6" xfId="1114" xr:uid="{792F7C3B-3B2E-4D45-89EE-197713DF210C}"/>
    <cellStyle name="Comma 2 29 3" xfId="191" xr:uid="{77A37FF2-5E51-4FBD-9C59-DEE98941FDF1}"/>
    <cellStyle name="Comma 2 29 3 2" xfId="933" xr:uid="{99CD1D38-564B-4F09-8FD9-CB18FA80855A}"/>
    <cellStyle name="Comma 2 29 3 2 2" xfId="1444" xr:uid="{47EF9FF6-73B1-457E-B818-186FE33BABC7}"/>
    <cellStyle name="Comma 2 29 3 3" xfId="1233" xr:uid="{B04CD712-816A-4F4B-B017-4455D97FCFF2}"/>
    <cellStyle name="Comma 2 29 4" xfId="492" xr:uid="{24448EE6-3CEB-4AB0-A790-046D70EC0D24}"/>
    <cellStyle name="Comma 2 29 4 2" xfId="1334" xr:uid="{796BE33B-F3CB-452C-9C44-DD6646510F05}"/>
    <cellStyle name="Comma 2 29 5" xfId="661" xr:uid="{CAC00AE2-992F-4F0A-A616-BE44EF044D33}"/>
    <cellStyle name="Comma 2 29 6" xfId="824" xr:uid="{3DACBB44-DD03-43CB-B80A-2A1A6829323E}"/>
    <cellStyle name="Comma 2 29 7" xfId="1113" xr:uid="{FCC5CD34-9E9F-4298-9903-8DEE432FDFB2}"/>
    <cellStyle name="Comma 2 3" xfId="192" xr:uid="{5AF79088-2E8F-4221-B88D-F48233566376}"/>
    <cellStyle name="Comma 2 3 2" xfId="193" xr:uid="{511F3853-1646-4930-92A6-53D38186B43A}"/>
    <cellStyle name="Comma 2 3 2 2" xfId="194" xr:uid="{CC35A044-C730-4DC3-A4FD-401DDE0FA87A}"/>
    <cellStyle name="Comma 2 3 2 2 2" xfId="935" xr:uid="{A0856BA8-507E-46A9-B6B9-D45B16434249}"/>
    <cellStyle name="Comma 2 3 2 2 2 2" xfId="1446" xr:uid="{1AD74594-048D-4E02-8E44-9EC05C2BF44F}"/>
    <cellStyle name="Comma 2 3 2 2 3" xfId="1235" xr:uid="{331039C0-F23F-4616-8D1A-AF3AF5A46ED3}"/>
    <cellStyle name="Comma 2 3 2 3" xfId="494" xr:uid="{44190E15-DAFB-45F9-A7DE-7901C8329D3E}"/>
    <cellStyle name="Comma 2 3 2 3 2" xfId="1336" xr:uid="{854D9279-B6AD-484F-BCB0-9D31ACF4DCDE}"/>
    <cellStyle name="Comma 2 3 2 4" xfId="663" xr:uid="{43F8A35A-510F-405F-901B-823102812D7B}"/>
    <cellStyle name="Comma 2 3 2 5" xfId="826" xr:uid="{44BE1582-5F0C-4528-9AFA-3BA0AAA3DB64}"/>
    <cellStyle name="Comma 2 3 2 6" xfId="1115" xr:uid="{BFF0B08A-7CC2-4B75-BB7A-37656BFA5723}"/>
    <cellStyle name="Comma 2 3 3" xfId="195" xr:uid="{F18C21FB-8B40-4397-A3CD-7D4267EB291B}"/>
    <cellStyle name="Comma 2 3 4" xfId="408" xr:uid="{90C225CE-83CF-4107-BFC0-C47169F73A0B}"/>
    <cellStyle name="Comma 2 30" xfId="196" xr:uid="{34FD8D81-35ED-47A8-B143-2794FB92E84D}"/>
    <cellStyle name="Comma 2 30 2" xfId="197" xr:uid="{E8C252FB-9CC2-454B-AEC5-02A749FBEFA1}"/>
    <cellStyle name="Comma 2 30 2 2" xfId="198" xr:uid="{8999CAED-85C0-498E-9CCA-D435A68F9B6D}"/>
    <cellStyle name="Comma 2 30 2 2 2" xfId="937" xr:uid="{8A31E94B-A1EC-4F00-9F78-056C571348BD}"/>
    <cellStyle name="Comma 2 30 2 2 2 2" xfId="1448" xr:uid="{980C008C-2667-47FE-9390-2B988690EF45}"/>
    <cellStyle name="Comma 2 30 2 2 3" xfId="1237" xr:uid="{8D52DED2-FD0C-4666-A758-5F02B3038A5C}"/>
    <cellStyle name="Comma 2 30 2 3" xfId="496" xr:uid="{2E1C7AAE-BADA-4320-9557-D1578AD92570}"/>
    <cellStyle name="Comma 2 30 2 3 2" xfId="1338" xr:uid="{D8E8ACB2-6F09-4E48-AC29-D8FFAACE98E3}"/>
    <cellStyle name="Comma 2 30 2 4" xfId="665" xr:uid="{39D5E704-6C89-46C0-B799-5380471EF508}"/>
    <cellStyle name="Comma 2 30 2 5" xfId="828" xr:uid="{DC857790-86BF-40B0-AF75-2E9867177D52}"/>
    <cellStyle name="Comma 2 30 2 6" xfId="1117" xr:uid="{CED19CF1-1995-4EFC-B30A-7749ABD2A62F}"/>
    <cellStyle name="Comma 2 30 3" xfId="199" xr:uid="{E1A4DE66-4BCA-4280-817C-81E4794EB7B8}"/>
    <cellStyle name="Comma 2 30 3 2" xfId="936" xr:uid="{B14A12A4-20B4-4FBA-8F2A-A5BC794E4E15}"/>
    <cellStyle name="Comma 2 30 3 2 2" xfId="1447" xr:uid="{0E72CE72-4335-4315-BE3E-2758CB04ED83}"/>
    <cellStyle name="Comma 2 30 3 3" xfId="1236" xr:uid="{1834AEBE-7D3F-454C-B980-3CF614C2EF66}"/>
    <cellStyle name="Comma 2 30 4" xfId="495" xr:uid="{D577B60F-B50F-4330-962D-F267FF482C19}"/>
    <cellStyle name="Comma 2 30 4 2" xfId="1337" xr:uid="{FA359650-10D4-4B7C-9056-7556E1C01B3E}"/>
    <cellStyle name="Comma 2 30 5" xfId="664" xr:uid="{67FCD34A-A73E-4F02-94B8-7503F93B96B1}"/>
    <cellStyle name="Comma 2 30 6" xfId="827" xr:uid="{57C3CA83-A23D-4F72-BAB0-CCD983E3CA38}"/>
    <cellStyle name="Comma 2 30 7" xfId="1116" xr:uid="{8621201E-4C93-461B-BEC9-50D4237BF96F}"/>
    <cellStyle name="Comma 2 31" xfId="200" xr:uid="{CE9F60C4-06F4-48D7-ACF0-19025371390E}"/>
    <cellStyle name="Comma 2 31 2" xfId="201" xr:uid="{5F7FDDB5-BAC7-4BDF-B4A6-D10AF160A099}"/>
    <cellStyle name="Comma 2 31 2 2" xfId="202" xr:uid="{3825D41F-E8F4-4204-A07E-7E7EA408305D}"/>
    <cellStyle name="Comma 2 31 2 2 2" xfId="939" xr:uid="{DA4989C2-6F2C-441E-A3F0-14B8332457BC}"/>
    <cellStyle name="Comma 2 31 2 2 2 2" xfId="1450" xr:uid="{9D3ACD09-078F-44F4-A299-33983998D2C0}"/>
    <cellStyle name="Comma 2 31 2 2 3" xfId="1239" xr:uid="{57FE08AE-C9D8-444D-9C6F-3DBDB6501B38}"/>
    <cellStyle name="Comma 2 31 2 3" xfId="498" xr:uid="{8E3F98E5-B97F-4B73-AFA1-9F8F4FB10A77}"/>
    <cellStyle name="Comma 2 31 2 3 2" xfId="1340" xr:uid="{7295A925-F39C-454A-B30D-95E9E9D8CDE4}"/>
    <cellStyle name="Comma 2 31 2 4" xfId="667" xr:uid="{F3FACD9E-F401-4B07-85E7-9A0977CBEAB2}"/>
    <cellStyle name="Comma 2 31 2 5" xfId="830" xr:uid="{AA687D49-BEB5-4985-836C-3524E4031D3F}"/>
    <cellStyle name="Comma 2 31 2 6" xfId="1119" xr:uid="{A6949978-3C12-4963-B415-5CC2CABE165D}"/>
    <cellStyle name="Comma 2 31 3" xfId="203" xr:uid="{21BCFF4D-49AE-477C-AE50-B9E4DBBBA641}"/>
    <cellStyle name="Comma 2 31 3 2" xfId="938" xr:uid="{C90A9718-6576-486E-B3DB-E49F63F747C4}"/>
    <cellStyle name="Comma 2 31 3 2 2" xfId="1449" xr:uid="{217ECCD4-9683-43E5-AC35-14C90EE934BA}"/>
    <cellStyle name="Comma 2 31 3 3" xfId="1238" xr:uid="{2FCE7093-B312-4FBC-889B-BC966DF71A9B}"/>
    <cellStyle name="Comma 2 31 4" xfId="497" xr:uid="{1B6280BF-1147-478C-9152-3843D384D185}"/>
    <cellStyle name="Comma 2 31 4 2" xfId="1339" xr:uid="{BA289354-0A1C-4F89-A7EB-65BDEE5A4315}"/>
    <cellStyle name="Comma 2 31 5" xfId="666" xr:uid="{82731C0C-3D00-4641-B599-76B77A507056}"/>
    <cellStyle name="Comma 2 31 6" xfId="829" xr:uid="{158E29BF-63F9-4644-8C91-68C735D7E698}"/>
    <cellStyle name="Comma 2 31 7" xfId="1118" xr:uid="{11434269-002A-4B92-9C28-653FE65DDB3B}"/>
    <cellStyle name="Comma 2 32" xfId="204" xr:uid="{A32D1C23-E57C-44DB-B013-3699B6F30094}"/>
    <cellStyle name="Comma 2 32 2" xfId="205" xr:uid="{B74FCF6E-9BB9-4B97-92CF-833469739186}"/>
    <cellStyle name="Comma 2 32 2 2" xfId="206" xr:uid="{C9956EC9-8605-41A4-BFC5-1AA20E088442}"/>
    <cellStyle name="Comma 2 32 2 2 2" xfId="1017" xr:uid="{F2D15DC2-B715-4339-8A68-C435F2422AFA}"/>
    <cellStyle name="Comma 2 32 2 2 3" xfId="1528" xr:uid="{A30A00ED-D7AD-4C87-9DE1-77DA19B7C508}"/>
    <cellStyle name="Comma 2 32 2 3" xfId="940" xr:uid="{B0852A72-355B-4F66-B521-66B98827DAE7}"/>
    <cellStyle name="Comma 2 32 2 3 2" xfId="1451" xr:uid="{A1D85160-F6EC-47CE-AEF0-2183A82128EB}"/>
    <cellStyle name="Comma 2 32 2 4" xfId="1240" xr:uid="{9D8DD28A-51AD-4C02-B6A5-0D6DA99F95F8}"/>
    <cellStyle name="Comma 2 32 3" xfId="207" xr:uid="{9791A33F-C832-4230-99B7-37028E4DC2D4}"/>
    <cellStyle name="Comma 2 32 3 2" xfId="968" xr:uid="{21CFD565-9E66-4533-84D5-5828F4A72C60}"/>
    <cellStyle name="Comma 2 32 3 3" xfId="1479" xr:uid="{131BE32A-2A03-4E25-9E17-9DA06DDDE0CA}"/>
    <cellStyle name="Comma 2 32 4" xfId="499" xr:uid="{A473F152-2EAC-4CD1-8E73-160619D8047D}"/>
    <cellStyle name="Comma 2 32 4 2" xfId="1351" xr:uid="{B77702C0-1243-4210-B63F-3BD11E7E6E24}"/>
    <cellStyle name="Comma 2 32 5" xfId="668" xr:uid="{F9F68356-8C32-4CAD-AE59-7B7C1A31ED0E}"/>
    <cellStyle name="Comma 2 32 6" xfId="1120" xr:uid="{39A1B233-AFA3-4837-850A-9E8BFB2E67F6}"/>
    <cellStyle name="Comma 2 33" xfId="208" xr:uid="{F34F5157-14C9-4C78-9147-35CCF287BC55}"/>
    <cellStyle name="Comma 2 33 2" xfId="890" xr:uid="{764DE2EE-37A1-4C03-B329-857458927B6D}"/>
    <cellStyle name="Comma 2 33 2 2" xfId="1401" xr:uid="{2DE4BEB4-D7F4-45A0-9523-EE84A7068381}"/>
    <cellStyle name="Comma 2 33 3" xfId="1192" xr:uid="{08A222B7-5C1A-4489-88CF-EB7D75361AC8}"/>
    <cellStyle name="Comma 2 34" xfId="379" xr:uid="{CA4D13DC-2E0A-40C8-9D64-E745627F580F}"/>
    <cellStyle name="Comma 2 34 2" xfId="1290" xr:uid="{6C453D82-65AA-4DF3-A887-7C26E691573E}"/>
    <cellStyle name="Comma 2 35" xfId="392" xr:uid="{600BF9C9-8E48-4594-9264-20DE7B93EADF}"/>
    <cellStyle name="Comma 2 36" xfId="450" xr:uid="{702547CB-8CB4-4239-8C5F-563DC2CDD678}"/>
    <cellStyle name="Comma 2 37" xfId="619" xr:uid="{DADB229C-4AF6-4FDE-B7F3-44A126C69527}"/>
    <cellStyle name="Comma 2 38" xfId="762" xr:uid="{9D233D5A-5D2F-471B-8213-66F3C2E35C16}"/>
    <cellStyle name="Comma 2 39" xfId="1073" xr:uid="{D0241F55-544D-4AD9-AD26-A3CF0E7DC03D}"/>
    <cellStyle name="Comma 2 4" xfId="209" xr:uid="{8BC7523B-3B16-4EA7-99A4-2A2FFC039247}"/>
    <cellStyle name="Comma 2 4 2" xfId="210" xr:uid="{3719C981-0EE4-4EE0-84E9-6127D530A1A8}"/>
    <cellStyle name="Comma 2 4 2 2" xfId="211" xr:uid="{847E96AC-0DBB-4687-8ACC-033BC37AA8E9}"/>
    <cellStyle name="Comma 2 4 2 2 2" xfId="941" xr:uid="{A88F4559-3CC7-49EC-9991-281D9D0CFA47}"/>
    <cellStyle name="Comma 2 4 2 2 2 2" xfId="1452" xr:uid="{92A1EE63-50D7-4A0F-B3E5-AF3D8B203561}"/>
    <cellStyle name="Comma 2 4 2 2 3" xfId="1241" xr:uid="{BD1679A1-4BAE-4342-A0AC-8C792253CE4B}"/>
    <cellStyle name="Comma 2 4 2 3" xfId="501" xr:uid="{E9FFA742-2D49-4BF3-8B43-692781E2EDEE}"/>
    <cellStyle name="Comma 2 4 2 3 2" xfId="1341" xr:uid="{50C9520C-BCBD-47F7-923C-EF0364C2295A}"/>
    <cellStyle name="Comma 2 4 2 4" xfId="669" xr:uid="{4E0957F7-7CAC-4F70-AEF8-BABF3EB97199}"/>
    <cellStyle name="Comma 2 4 2 5" xfId="831" xr:uid="{B1B968C5-E0B2-4AE4-BE3F-F653D5942BF5}"/>
    <cellStyle name="Comma 2 4 2 6" xfId="1121" xr:uid="{FB3E6DAC-D152-4D38-8ABD-CB340FE2F7AA}"/>
    <cellStyle name="Comma 2 4 3" xfId="500" xr:uid="{EE42360A-F371-432D-B8D5-DEEFCE0C2585}"/>
    <cellStyle name="Comma 2 5" xfId="212" xr:uid="{729EA077-7D75-4D69-A00E-D2A60FE2B040}"/>
    <cellStyle name="Comma 2 5 2" xfId="213" xr:uid="{12F557D0-F433-4AF3-86BF-EA9D2780B01B}"/>
    <cellStyle name="Comma 2 5 2 2" xfId="214" xr:uid="{2BF24819-9209-4169-A589-37790181B509}"/>
    <cellStyle name="Comma 2 5 2 2 2" xfId="942" xr:uid="{3E5ACC17-4ABC-47F5-9CA9-3D152D54A13C}"/>
    <cellStyle name="Comma 2 5 2 2 2 2" xfId="1453" xr:uid="{1D949C1E-EF43-4308-AE3A-8336B87A9B92}"/>
    <cellStyle name="Comma 2 5 2 2 3" xfId="1242" xr:uid="{BF7E55FA-5561-47BB-BC8F-1490B9E12BB6}"/>
    <cellStyle name="Comma 2 5 2 3" xfId="503" xr:uid="{73772FB5-B801-4C09-9612-1B1714AAA051}"/>
    <cellStyle name="Comma 2 5 2 3 2" xfId="1342" xr:uid="{E276259D-466F-41C7-93D0-D34EDF642BC4}"/>
    <cellStyle name="Comma 2 5 2 4" xfId="670" xr:uid="{2A263DDF-E944-446C-903C-94EF00A98D33}"/>
    <cellStyle name="Comma 2 5 2 5" xfId="832" xr:uid="{3260F6E4-424F-402D-960A-15256FE520F7}"/>
    <cellStyle name="Comma 2 5 2 6" xfId="1122" xr:uid="{BEAA395E-7D9D-4423-B8DC-19C24379ED67}"/>
    <cellStyle name="Comma 2 5 3" xfId="502" xr:uid="{BD85E39A-D0AC-4C30-8056-9E0BE61DC663}"/>
    <cellStyle name="Comma 2 6" xfId="215" xr:uid="{67488DD3-3A6F-473D-868C-8FDF462ECF15}"/>
    <cellStyle name="Comma 2 6 2" xfId="216" xr:uid="{4BED6230-418D-4B88-B3F9-F9BE4567F92A}"/>
    <cellStyle name="Comma 2 6 2 2" xfId="217" xr:uid="{DE6638E8-1D0D-4B74-A490-1EFFA29EF353}"/>
    <cellStyle name="Comma 2 6 2 2 2" xfId="944" xr:uid="{DCC99E93-A914-4182-B92C-9281C2A7E19E}"/>
    <cellStyle name="Comma 2 6 2 2 2 2" xfId="1455" xr:uid="{0CAC9047-1B5C-457C-AB1D-7ABC22EB3642}"/>
    <cellStyle name="Comma 2 6 2 2 3" xfId="1244" xr:uid="{E6149E76-797B-41A2-B1BD-2856CEAA5BDC}"/>
    <cellStyle name="Comma 2 6 2 3" xfId="505" xr:uid="{A2F0570F-EFB0-419B-BEFE-96BB27CE3694}"/>
    <cellStyle name="Comma 2 6 2 3 2" xfId="1344" xr:uid="{1AA6F9F2-ABD9-41C8-8382-3886FE22CC84}"/>
    <cellStyle name="Comma 2 6 2 4" xfId="672" xr:uid="{7758594B-0743-44C4-9925-5B51204BD447}"/>
    <cellStyle name="Comma 2 6 2 5" xfId="834" xr:uid="{8375E2E6-40DB-4D83-BCC1-330E3AEFDBF2}"/>
    <cellStyle name="Comma 2 6 2 6" xfId="1124" xr:uid="{4FAE26B5-0016-4189-BD13-0460DBEEF025}"/>
    <cellStyle name="Comma 2 6 3" xfId="218" xr:uid="{751E011F-D03A-41B6-8B94-5F6331788623}"/>
    <cellStyle name="Comma 2 6 3 2" xfId="943" xr:uid="{4EC23FDF-CFD4-4083-993E-ECC4AC471C5D}"/>
    <cellStyle name="Comma 2 6 3 2 2" xfId="1454" xr:uid="{2808F429-39F3-4CEB-A3E0-274FDDD15390}"/>
    <cellStyle name="Comma 2 6 3 3" xfId="1243" xr:uid="{8120F901-3C13-4B59-A772-CD3FA067250E}"/>
    <cellStyle name="Comma 2 6 4" xfId="504" xr:uid="{D603CA9E-AE3E-4DDC-9507-C7A11437425C}"/>
    <cellStyle name="Comma 2 6 4 2" xfId="1343" xr:uid="{B2203860-8340-4DAA-A898-2A76718ECF1E}"/>
    <cellStyle name="Comma 2 6 5" xfId="671" xr:uid="{E9043A56-340B-42D5-AECB-9D2BEC102AC4}"/>
    <cellStyle name="Comma 2 6 6" xfId="833" xr:uid="{D941A911-5CCB-4BEA-B588-A25494ADE2FA}"/>
    <cellStyle name="Comma 2 6 7" xfId="1123" xr:uid="{3DEE2D35-149F-4BB6-AE5A-D5B3DC93CEA5}"/>
    <cellStyle name="Comma 2 7" xfId="219" xr:uid="{7AA93BE1-17B7-47A9-8002-10A5D78785B5}"/>
    <cellStyle name="Comma 2 7 2" xfId="220" xr:uid="{543BBC71-22E4-42A3-A6D7-DCE0F3FC8564}"/>
    <cellStyle name="Comma 2 7 2 2" xfId="221" xr:uid="{A2F7F37D-C926-41AB-91E9-DAADB1829F2F}"/>
    <cellStyle name="Comma 2 7 2 2 2" xfId="946" xr:uid="{616D021A-6DA8-45CB-A00E-4392F3D67CAF}"/>
    <cellStyle name="Comma 2 7 2 2 2 2" xfId="1457" xr:uid="{7CE41B23-2AD8-405E-BF06-44C3B1B7BA86}"/>
    <cellStyle name="Comma 2 7 2 2 3" xfId="1246" xr:uid="{6DA660D1-803F-45AF-B2C5-77F024B175F5}"/>
    <cellStyle name="Comma 2 7 2 3" xfId="507" xr:uid="{F112B771-7D9F-4693-988A-FAFE4381E3D4}"/>
    <cellStyle name="Comma 2 7 2 3 2" xfId="1346" xr:uid="{82C8D4F9-EAF7-4124-BC12-3E07F7055C15}"/>
    <cellStyle name="Comma 2 7 2 4" xfId="674" xr:uid="{0F3576DC-DFCF-4B92-8C00-5DF64046B92C}"/>
    <cellStyle name="Comma 2 7 2 5" xfId="836" xr:uid="{126A0B33-CA3E-4407-B0C2-8B6C9DAFAC62}"/>
    <cellStyle name="Comma 2 7 2 6" xfId="1126" xr:uid="{B2F92B6F-5988-4D11-B9D0-3A8FF53C6627}"/>
    <cellStyle name="Comma 2 7 3" xfId="222" xr:uid="{485C7134-F1D9-4DF5-884F-73B004648CDA}"/>
    <cellStyle name="Comma 2 7 3 2" xfId="945" xr:uid="{AF0B2D11-CDD7-49EB-9A46-2784E006356E}"/>
    <cellStyle name="Comma 2 7 3 2 2" xfId="1456" xr:uid="{7AF7142F-60C5-42C9-8A61-DA2A9341084A}"/>
    <cellStyle name="Comma 2 7 3 3" xfId="1245" xr:uid="{20DD0349-AD3B-4F89-94AF-ED8E53F316F5}"/>
    <cellStyle name="Comma 2 7 4" xfId="506" xr:uid="{31F84502-DC9B-4EBF-8528-B5EF8D973B50}"/>
    <cellStyle name="Comma 2 7 4 2" xfId="1345" xr:uid="{84105E0D-B4E9-4AEE-A564-2031B6862AD4}"/>
    <cellStyle name="Comma 2 7 5" xfId="673" xr:uid="{90BD17B3-7A2E-410C-8CA8-041964827EE0}"/>
    <cellStyle name="Comma 2 7 6" xfId="835" xr:uid="{4100B84F-F756-4005-9574-3DB406D0AADF}"/>
    <cellStyle name="Comma 2 7 7" xfId="1125" xr:uid="{319FD286-6579-4807-BC7B-41F0BA7F41B5}"/>
    <cellStyle name="Comma 2 8" xfId="223" xr:uid="{DE31308B-BB0C-4BA9-B16A-742231E19217}"/>
    <cellStyle name="Comma 2 8 2" xfId="224" xr:uid="{0A274E6B-A1D0-4B66-890C-87219FF13BA2}"/>
    <cellStyle name="Comma 2 8 2 2" xfId="225" xr:uid="{AE0C461C-16EB-49C7-824F-9E441E5819B4}"/>
    <cellStyle name="Comma 2 8 2 2 2" xfId="948" xr:uid="{1CAC47E3-CE14-416E-8FC4-AAD82285E3AD}"/>
    <cellStyle name="Comma 2 8 2 2 2 2" xfId="1459" xr:uid="{C84965D3-1269-4495-8F41-2A421CFF57E3}"/>
    <cellStyle name="Comma 2 8 2 2 3" xfId="1248" xr:uid="{53A24BC5-E620-4103-B29E-E6362C007461}"/>
    <cellStyle name="Comma 2 8 2 3" xfId="509" xr:uid="{BD4FBFD3-C586-4EAD-9AD0-08757760586C}"/>
    <cellStyle name="Comma 2 8 2 3 2" xfId="1348" xr:uid="{F595716C-FDF8-495B-A788-29C2441EC529}"/>
    <cellStyle name="Comma 2 8 2 4" xfId="676" xr:uid="{5D2DC7B6-7438-44EB-9025-96391F13F304}"/>
    <cellStyle name="Comma 2 8 2 5" xfId="838" xr:uid="{F9B8E090-E218-4C99-B53E-875972C2D005}"/>
    <cellStyle name="Comma 2 8 2 6" xfId="1128" xr:uid="{12447197-D9E1-4EFB-A0AD-69AEF42A3DC5}"/>
    <cellStyle name="Comma 2 8 3" xfId="226" xr:uid="{30B4E30F-6A10-4042-A537-8F5A0A4F7E4E}"/>
    <cellStyle name="Comma 2 8 3 2" xfId="947" xr:uid="{C5E6E0D4-88A7-47D2-9DF8-CA0A14017BF8}"/>
    <cellStyle name="Comma 2 8 3 2 2" xfId="1458" xr:uid="{93EE0A18-FE4C-4DBA-A698-642FC2B387D6}"/>
    <cellStyle name="Comma 2 8 3 3" xfId="1247" xr:uid="{A02B9899-76A1-4A3B-8BDB-4360720542C1}"/>
    <cellStyle name="Comma 2 8 4" xfId="508" xr:uid="{2168ED76-F1B9-4954-A3BF-24A5865E146F}"/>
    <cellStyle name="Comma 2 8 4 2" xfId="1347" xr:uid="{0566FDCD-BED9-438A-9708-96C6B98B1A9E}"/>
    <cellStyle name="Comma 2 8 5" xfId="675" xr:uid="{D69A1142-8C28-4984-B3C8-5A480D4C036D}"/>
    <cellStyle name="Comma 2 8 6" xfId="837" xr:uid="{F988ADA8-E68D-446B-909E-A79C109583C9}"/>
    <cellStyle name="Comma 2 8 7" xfId="1127" xr:uid="{E69B90D4-D06E-454E-98F0-48ACB83D6105}"/>
    <cellStyle name="Comma 2 9" xfId="227" xr:uid="{89A5CE90-AB42-4FA3-AE25-95B46F51C9B8}"/>
    <cellStyle name="Comma 2 9 2" xfId="228" xr:uid="{E70337BB-15CE-4234-A96B-1328C74A9EB9}"/>
    <cellStyle name="Comma 2 9 2 2" xfId="229" xr:uid="{62ACAAA9-A51B-4CCC-BFC6-95533761BECE}"/>
    <cellStyle name="Comma 2 9 2 2 2" xfId="950" xr:uid="{5393C211-46C4-4090-A561-216528FA56BE}"/>
    <cellStyle name="Comma 2 9 2 2 2 2" xfId="1461" xr:uid="{37823C32-7BAC-4270-96F8-0959ACDD1403}"/>
    <cellStyle name="Comma 2 9 2 2 3" xfId="1250" xr:uid="{25262ABF-DE97-4971-9831-4F93C89F7047}"/>
    <cellStyle name="Comma 2 9 2 3" xfId="511" xr:uid="{E886714E-BA41-47ED-B378-F678BCC9C253}"/>
    <cellStyle name="Comma 2 9 2 3 2" xfId="1350" xr:uid="{845B7992-35F5-4A1A-9B5D-9F33AFC0A15F}"/>
    <cellStyle name="Comma 2 9 2 4" xfId="678" xr:uid="{32F6F669-54FF-4333-A2F6-E53D47DF87F5}"/>
    <cellStyle name="Comma 2 9 2 5" xfId="840" xr:uid="{0E346AB2-0FBC-40A9-A60B-A60918108F31}"/>
    <cellStyle name="Comma 2 9 2 6" xfId="1130" xr:uid="{B8D0B54A-8552-4FC3-B3B7-3358E462BBF1}"/>
    <cellStyle name="Comma 2 9 3" xfId="230" xr:uid="{69E6C43A-D2A4-4549-8D69-61792849BFBD}"/>
    <cellStyle name="Comma 2 9 3 2" xfId="949" xr:uid="{7EF4D945-9FA0-4D5C-8F09-C8EE67AA4A1B}"/>
    <cellStyle name="Comma 2 9 3 2 2" xfId="1460" xr:uid="{D974B63C-937A-4707-BDEF-CD7980E97CD0}"/>
    <cellStyle name="Comma 2 9 3 3" xfId="1249" xr:uid="{14A67475-015A-4107-9BE7-2503DF48A9E1}"/>
    <cellStyle name="Comma 2 9 4" xfId="510" xr:uid="{15C9C7F9-D424-4CFA-82A0-4F5510F13F8D}"/>
    <cellStyle name="Comma 2 9 4 2" xfId="1349" xr:uid="{05AB330B-FDF8-4872-8969-24FDA7CCC5BA}"/>
    <cellStyle name="Comma 2 9 5" xfId="677" xr:uid="{9785AB8F-A465-4DDF-AC4B-DCF39B42EE9F}"/>
    <cellStyle name="Comma 2 9 6" xfId="839" xr:uid="{C1A5593A-7915-468B-8B1B-32F403F336B6}"/>
    <cellStyle name="Comma 2 9 7" xfId="1129" xr:uid="{0DDC86C6-3C1A-4C03-BBD3-F4FAA2335029}"/>
    <cellStyle name="Comma 20" xfId="231" xr:uid="{A926F4C3-4F28-471B-BB1B-1D888D5C2143}"/>
    <cellStyle name="Comma 20 2" xfId="232" xr:uid="{E8169F98-7490-407A-A03C-F4A3DBCA8C90}"/>
    <cellStyle name="Comma 20 2 2" xfId="999" xr:uid="{C524155A-95DE-4BE5-9304-80A600A63503}"/>
    <cellStyle name="Comma 20 2 3" xfId="1510" xr:uid="{B8C6F528-398A-4B15-871B-DF5A8320EF48}"/>
    <cellStyle name="Comma 20 3" xfId="868" xr:uid="{32AF103D-285D-4973-8B04-068EC6FBC122}"/>
    <cellStyle name="Comma 20 4" xfId="1379" xr:uid="{68D51904-0DCF-46C3-B9BF-6B54B016829F}"/>
    <cellStyle name="Comma 21" xfId="233" xr:uid="{866A8C6E-2FEE-4F0E-BBCE-95E2F0526993}"/>
    <cellStyle name="Comma 21 2" xfId="234" xr:uid="{4EEF4362-3735-4261-99BE-9A87EF890E84}"/>
    <cellStyle name="Comma 21 2 2" xfId="1001" xr:uid="{9E221D16-1DB8-4F0D-845F-3D4F8016FED7}"/>
    <cellStyle name="Comma 21 2 3" xfId="1512" xr:uid="{442D77A3-C84B-4FF0-AE86-A87B2B643219}"/>
    <cellStyle name="Comma 21 3" xfId="870" xr:uid="{662C536E-9B21-4F9F-9BBF-C0E883F25CFC}"/>
    <cellStyle name="Comma 21 4" xfId="1381" xr:uid="{6789E477-A5B1-44E3-8181-48E2F0ED6F10}"/>
    <cellStyle name="Comma 22" xfId="235" xr:uid="{005A3AAE-1223-4E3D-B8D2-9D32A0BDB3D8}"/>
    <cellStyle name="Comma 22 2" xfId="236" xr:uid="{BD41D5DB-DE61-4A5A-AF43-54E9FA7D81C0}"/>
    <cellStyle name="Comma 22 2 2" xfId="998" xr:uid="{1CEDA8CC-9851-4307-B504-261E3691ADF8}"/>
    <cellStyle name="Comma 22 2 3" xfId="1509" xr:uid="{00347F4B-5E8A-4058-815B-ABB71253C690}"/>
    <cellStyle name="Comma 22 3" xfId="867" xr:uid="{0A3D56B3-4857-4CB6-810D-2CE6C142E334}"/>
    <cellStyle name="Comma 22 4" xfId="1378" xr:uid="{4F07CE55-552E-4985-B95D-89D1C5993F56}"/>
    <cellStyle name="Comma 23" xfId="237" xr:uid="{25352FDE-3768-4226-AC64-437B48F69D3B}"/>
    <cellStyle name="Comma 23 2" xfId="238" xr:uid="{05983824-AF95-49B0-ABD4-5A1ED16B350A}"/>
    <cellStyle name="Comma 23 2 2" xfId="996" xr:uid="{7493F5A2-43E0-4E9E-B71C-B7BBFC402192}"/>
    <cellStyle name="Comma 23 2 3" xfId="1507" xr:uid="{89A697C0-1DE6-44F4-89CB-9F3FE731415A}"/>
    <cellStyle name="Comma 23 3" xfId="865" xr:uid="{525A59A3-DD1A-4E4B-ABB4-52956C983B3C}"/>
    <cellStyle name="Comma 23 4" xfId="1376" xr:uid="{6C53377C-1612-4810-A81B-6274476D6D7C}"/>
    <cellStyle name="Comma 24" xfId="239" xr:uid="{6D46750B-B181-409C-A5D4-040DA7843A6D}"/>
    <cellStyle name="Comma 24 2" xfId="240" xr:uid="{4AE0FB6A-C1A5-4294-ABFC-C32C4CF7677F}"/>
    <cellStyle name="Comma 24 2 2" xfId="997" xr:uid="{15CFA67B-3AA3-46B6-A703-0BD1B19C0590}"/>
    <cellStyle name="Comma 24 2 3" xfId="1508" xr:uid="{15F670B9-AA59-4C78-998C-C408779403D1}"/>
    <cellStyle name="Comma 24 3" xfId="866" xr:uid="{C8BF75A2-5BDB-4AD4-B0C0-5B518B5757C0}"/>
    <cellStyle name="Comma 24 4" xfId="1377" xr:uid="{399814C9-68F7-46A5-87C4-0965604056C1}"/>
    <cellStyle name="Comma 25" xfId="241" xr:uid="{F005A9A8-ABA9-4716-B94C-659A579E9D2C}"/>
    <cellStyle name="Comma 25 2" xfId="242" xr:uid="{573985CE-EC96-4AB2-829C-A8C8F61F2B5F}"/>
    <cellStyle name="Comma 25 2 2" xfId="1002" xr:uid="{819159E0-0B51-4A56-AB6E-BDA648FBA131}"/>
    <cellStyle name="Comma 25 2 3" xfId="1513" xr:uid="{5E9498CD-7CAA-4745-B4B7-1A78D5F867E1}"/>
    <cellStyle name="Comma 25 3" xfId="871" xr:uid="{3AE43BE3-B02A-4735-B917-B24B0FFB7366}"/>
    <cellStyle name="Comma 25 4" xfId="1382" xr:uid="{65298387-C49E-497B-8763-BD8AB8B680AE}"/>
    <cellStyle name="Comma 26" xfId="243" xr:uid="{239C48C0-4501-498C-B759-72A7A171892B}"/>
    <cellStyle name="Comma 26 2" xfId="244" xr:uid="{588974CD-92F4-467B-9561-83193FFC668E}"/>
    <cellStyle name="Comma 26 2 2" xfId="1008" xr:uid="{4E34E2F5-BFEA-4CCF-8097-887F6C9B2C92}"/>
    <cellStyle name="Comma 26 2 3" xfId="1519" xr:uid="{4DF6AC47-2E27-432F-901F-77AF9F7E8177}"/>
    <cellStyle name="Comma 26 3" xfId="877" xr:uid="{6AAF244C-F612-4FF0-A4AB-083A41F7D512}"/>
    <cellStyle name="Comma 26 4" xfId="1388" xr:uid="{A566AC3A-3572-44BA-9498-D227B35BED71}"/>
    <cellStyle name="Comma 27" xfId="245" xr:uid="{4FC597D7-58D0-4D35-9172-86DAA5CBE988}"/>
    <cellStyle name="Comma 27 2" xfId="246" xr:uid="{D3B299C8-4FE8-4B3D-905D-B420C128D4C3}"/>
    <cellStyle name="Comma 27 2 2" xfId="1010" xr:uid="{B2C3D80B-F0BE-477B-BA88-B01CADEC5F74}"/>
    <cellStyle name="Comma 27 2 3" xfId="1521" xr:uid="{F984FEDF-1DF7-4BC5-B8AB-F5EB07524068}"/>
    <cellStyle name="Comma 27 3" xfId="879" xr:uid="{BD578882-2441-4A40-B4D0-935ED6E10930}"/>
    <cellStyle name="Comma 27 4" xfId="1390" xr:uid="{CE6CEBA2-3FB3-49D9-B05E-DBA13DA90362}"/>
    <cellStyle name="Comma 28" xfId="247" xr:uid="{1DA81E47-DAAF-4A8B-98F1-2C4F319930C8}"/>
    <cellStyle name="Comma 28 2" xfId="248" xr:uid="{169AA459-611A-4D03-9E50-A38475B0B82A}"/>
    <cellStyle name="Comma 28 2 2" xfId="1007" xr:uid="{AB60B22D-8807-4CD6-B457-D7564776F2AB}"/>
    <cellStyle name="Comma 28 2 3" xfId="1518" xr:uid="{2F0DA13A-B062-420C-AEA1-FF8D551BBB60}"/>
    <cellStyle name="Comma 28 3" xfId="876" xr:uid="{0B04B52A-34D0-444D-8C4D-A1109252C8CD}"/>
    <cellStyle name="Comma 28 4" xfId="1387" xr:uid="{28A1F71D-951B-4F05-A9BB-BFB0F9FCE529}"/>
    <cellStyle name="Comma 29" xfId="249" xr:uid="{CF8528B9-1C1B-46DF-B690-C5A3941538CF}"/>
    <cellStyle name="Comma 29 2" xfId="250" xr:uid="{6170DC11-DF61-4F3D-BE6F-396B259015E2}"/>
    <cellStyle name="Comma 29 2 2" xfId="1005" xr:uid="{6AFB73CB-FD29-4163-9EFD-28A6B19B8AE7}"/>
    <cellStyle name="Comma 29 2 3" xfId="1516" xr:uid="{41F05FFA-80D0-49E3-B422-52A08A96085F}"/>
    <cellStyle name="Comma 29 3" xfId="874" xr:uid="{5CCDD1AE-66BD-4FD8-ABC1-A8EB53E844B0}"/>
    <cellStyle name="Comma 29 4" xfId="1385" xr:uid="{98DDFD62-8AB8-4C7C-9785-D21631D7791B}"/>
    <cellStyle name="Comma 3" xfId="251" xr:uid="{3DBAF34F-823A-44B3-A795-9C0D3ABE3B93}"/>
    <cellStyle name="Comma 3 10" xfId="711" xr:uid="{EBA0BE9B-29D2-4141-8E79-FFF13F464DA3}"/>
    <cellStyle name="Comma 3 11" xfId="717" xr:uid="{9B7AB5FA-A73E-44C9-A0EE-8B71E2A80A30}"/>
    <cellStyle name="Comma 3 12" xfId="724" xr:uid="{402CC487-5CCA-4BCE-9053-738FCFCF7816}"/>
    <cellStyle name="Comma 3 13" xfId="763" xr:uid="{39C6BDE6-D0BE-41C1-B6BC-A876474B47BA}"/>
    <cellStyle name="Comma 3 14" xfId="1131" xr:uid="{2602120D-0F60-4F64-BBF2-52A40E13FBDC}"/>
    <cellStyle name="Comma 3 15" xfId="1548" xr:uid="{7002D65D-CCB8-43CF-8FEB-86012E005A37}"/>
    <cellStyle name="Comma 3 16" xfId="1554" xr:uid="{EA024622-CB18-4D97-B89C-647041868418}"/>
    <cellStyle name="Comma 3 17" xfId="1558" xr:uid="{44E6BEC2-DF5E-46A8-9EF5-C3AEA098A145}"/>
    <cellStyle name="Comma 3 2" xfId="252" xr:uid="{938E760D-E678-49E0-9A3C-492BE5C9B22E}"/>
    <cellStyle name="Comma 3 2 2" xfId="253" xr:uid="{0A2C90C0-828A-47A4-B114-31E3532EFA98}"/>
    <cellStyle name="Comma 3 2 2 2" xfId="254" xr:uid="{777B5D0A-F8C8-4240-93CF-DD4B304295FA}"/>
    <cellStyle name="Comma 3 2 2 2 2" xfId="255" xr:uid="{F8AC884A-B3B7-4ACB-8DC8-225287EB5300}"/>
    <cellStyle name="Comma 3 2 2 2 2 2" xfId="1018" xr:uid="{4C7DFF1F-3645-47B9-A3BA-8BB8DB88D7A7}"/>
    <cellStyle name="Comma 3 2 2 2 2 2 2" xfId="1529" xr:uid="{EFF3F472-8583-4ED9-ACBE-F849C4DE72B9}"/>
    <cellStyle name="Comma 3 2 2 2 2 3" xfId="1253" xr:uid="{B33B0A6F-49DC-4B47-A23B-7C9772B8D85A}"/>
    <cellStyle name="Comma 3 2 2 2 3" xfId="953" xr:uid="{D7F18C8D-9649-4A43-A8D8-2D5B05A40B57}"/>
    <cellStyle name="Comma 3 2 2 2 3 2" xfId="1464" xr:uid="{7D379D28-421F-44A9-9FF6-7108554161E7}"/>
    <cellStyle name="Comma 3 2 2 2 4" xfId="1133" xr:uid="{4DA47672-AB4B-4FAC-A798-EBF47CECA8E0}"/>
    <cellStyle name="Comma 3 2 2 3" xfId="256" xr:uid="{B7ED2B04-7E4D-4B43-B0A8-F0D7C8604A66}"/>
    <cellStyle name="Comma 3 2 2 3 2" xfId="972" xr:uid="{452252D8-5609-4EA8-B2A9-0A0AE5DEF9F5}"/>
    <cellStyle name="Comma 3 2 2 3 3" xfId="1483" xr:uid="{CCA8E10B-5D64-4159-956B-FDDCB496E4A0}"/>
    <cellStyle name="Comma 3 2 2 4" xfId="514" xr:uid="{89EA520A-0803-4B97-A5E4-F2604CD97B1E}"/>
    <cellStyle name="Comma 3 2 2 5" xfId="681" xr:uid="{6C2DA743-0E33-48A2-84F2-42766754253B}"/>
    <cellStyle name="Comma 3 2 3" xfId="257" xr:uid="{9D1CEA5F-32DE-47DC-8D8B-FAFC3B4AD946}"/>
    <cellStyle name="Comma 3 2 3 2" xfId="952" xr:uid="{A88460C6-789A-4158-8E61-8FE507CC2E50}"/>
    <cellStyle name="Comma 3 2 3 2 2" xfId="1254" xr:uid="{DC5E22D8-03B3-4818-9DE3-739EBD72AC3F}"/>
    <cellStyle name="Comma 3 2 3 3" xfId="1463" xr:uid="{70938143-37AD-4E47-8272-A4EB4A708504}"/>
    <cellStyle name="Comma 3 2 3 4" xfId="1134" xr:uid="{663147BD-0055-4D30-901D-FD8571B572E4}"/>
    <cellStyle name="Comma 3 2 4" xfId="385" xr:uid="{5B2AA38B-6414-4FEC-BCB4-A856A6BB7207}"/>
    <cellStyle name="Comma 3 2 4 2" xfId="1255" xr:uid="{956D84BF-2A4D-4C7A-9D2E-C840B4C9FD15}"/>
    <cellStyle name="Comma 3 2 4 3" xfId="1135" xr:uid="{9E31500B-9165-4FF8-81D7-45CBAF1C9382}"/>
    <cellStyle name="Comma 3 2 5" xfId="398" xr:uid="{4C7DE79D-0D54-4FC4-8183-BA88A1F8EC8D}"/>
    <cellStyle name="Comma 3 2 5 2" xfId="1256" xr:uid="{1405350B-BD4E-4BBF-8AA1-75752BB5453A}"/>
    <cellStyle name="Comma 3 2 5 3" xfId="1136" xr:uid="{FCFCFB2A-AD76-4865-A96A-34C226F60E56}"/>
    <cellStyle name="Comma 3 2 6" xfId="513" xr:uid="{1363387D-8186-4E0B-9A8F-0AF55C767935}"/>
    <cellStyle name="Comma 3 2 6 2" xfId="1252" xr:uid="{A7A7BD16-8E6D-4038-9F6F-1555F4E24601}"/>
    <cellStyle name="Comma 3 2 7" xfId="680" xr:uid="{8300CC34-722C-425C-AE85-7946CE26A63B}"/>
    <cellStyle name="Comma 3 2 7 2" xfId="1292" xr:uid="{CCDCAE24-0F41-4A92-A874-7E601DF90C74}"/>
    <cellStyle name="Comma 3 2 8" xfId="764" xr:uid="{C9232B07-80C7-4636-A387-5C6E2EF7E797}"/>
    <cellStyle name="Comma 3 2 9" xfId="1132" xr:uid="{2A3D3920-D8BA-445A-8F6D-EEDF4924C22E}"/>
    <cellStyle name="Comma 3 3" xfId="258" xr:uid="{613F137D-3E55-4CEA-AEDB-939C6EEF1873}"/>
    <cellStyle name="Comma 3 3 2" xfId="259" xr:uid="{F2F79748-5CF4-406C-9859-A224359FEB9D}"/>
    <cellStyle name="Comma 3 3 2 2" xfId="260" xr:uid="{3B3C466C-E600-4F56-8D7D-816ACC6AA080}"/>
    <cellStyle name="Comma 3 3 2 2 2" xfId="1019" xr:uid="{965AB2A3-C4B9-4C86-B6F1-C73F5A8AB51E}"/>
    <cellStyle name="Comma 3 3 2 2 2 2" xfId="1530" xr:uid="{377B85F5-037B-4246-A475-CBFCC670FA89}"/>
    <cellStyle name="Comma 3 3 2 2 3" xfId="1258" xr:uid="{81978819-E87D-4525-9031-AAD848AF01EE}"/>
    <cellStyle name="Comma 3 3 2 3" xfId="261" xr:uid="{82AF9D35-3D80-4143-B56D-5D70D29D0F24}"/>
    <cellStyle name="Comma 3 3 2 3 2" xfId="1465" xr:uid="{7EC2A447-DC03-4089-B2D5-F45430A47F4F}"/>
    <cellStyle name="Comma 3 3 2 4" xfId="954" xr:uid="{AF025D51-5F00-41E6-AF9C-E0246164602A}"/>
    <cellStyle name="Comma 3 3 3" xfId="262" xr:uid="{5B094EA4-C571-4238-9AD6-5E6F712D2CAF}"/>
    <cellStyle name="Comma 3 3 3 2" xfId="974" xr:uid="{4B66E665-54C9-41B8-9104-93B0EF06098D}"/>
    <cellStyle name="Comma 3 3 3 2 2" xfId="1259" xr:uid="{425D9131-EAB2-486E-8A08-096175AD672D}"/>
    <cellStyle name="Comma 3 3 3 3" xfId="1485" xr:uid="{4720155E-FAA6-40CE-A329-F79BEC022F59}"/>
    <cellStyle name="Comma 3 3 3 4" xfId="1137" xr:uid="{2EB110F4-DE43-4848-B0C3-7409C7A82DFF}"/>
    <cellStyle name="Comma 3 3 4" xfId="515" xr:uid="{5FBE614F-C8A0-44F5-B12E-1982283F93B6}"/>
    <cellStyle name="Comma 3 3 4 2" xfId="1257" xr:uid="{9333E831-E218-4C0E-9210-A6355E0B9EBE}"/>
    <cellStyle name="Comma 3 3 5" xfId="682" xr:uid="{3EC6CB98-B5D2-4B08-ACA6-E9A415CF1F3B}"/>
    <cellStyle name="Comma 3 4" xfId="263" xr:uid="{AD738897-BF67-4740-A06C-6639E7364DBB}"/>
    <cellStyle name="Comma 3 4 2" xfId="264" xr:uid="{190DA527-9489-4564-84F4-07588847B997}"/>
    <cellStyle name="Comma 3 4 2 2" xfId="265" xr:uid="{DC1CE5CD-36DD-4BB4-88A9-7E34CA54EC80}"/>
    <cellStyle name="Comma 3 4 2 2 2" xfId="1020" xr:uid="{0A94724C-CD46-42E2-969B-07FDB21049DA}"/>
    <cellStyle name="Comma 3 4 2 2 3" xfId="1531" xr:uid="{5D794AB8-1DA9-4E02-862A-AB12263355C9}"/>
    <cellStyle name="Comma 3 4 2 3" xfId="955" xr:uid="{4CF692E9-16C0-4F58-B55C-0A416F86B968}"/>
    <cellStyle name="Comma 3 4 2 3 2" xfId="1466" xr:uid="{7C24143A-242F-4E93-848F-964F9D409297}"/>
    <cellStyle name="Comma 3 4 2 4" xfId="1260" xr:uid="{E2B9B4FE-6BBB-4E1B-8105-1616EAEED106}"/>
    <cellStyle name="Comma 3 4 3" xfId="266" xr:uid="{CF226167-EF7B-481B-9106-90B550FAAE2E}"/>
    <cellStyle name="Comma 3 4 3 2" xfId="970" xr:uid="{DC3258A4-6491-47D0-B9C0-25A82DE22377}"/>
    <cellStyle name="Comma 3 4 3 3" xfId="1481" xr:uid="{28F2EEAE-4D8C-4C36-A54F-D164E50A2FDD}"/>
    <cellStyle name="Comma 3 4 4" xfId="516" xr:uid="{BD3CBF80-5575-4A2F-94F7-59CB86ACA93C}"/>
    <cellStyle name="Comma 3 4 5" xfId="683" xr:uid="{F6E02CAF-BBF5-44F9-8BAD-3E6826FB7D62}"/>
    <cellStyle name="Comma 3 4 6" xfId="849" xr:uid="{190D3097-2BCA-480D-AC3E-DD923695B49B}"/>
    <cellStyle name="Comma 3 4 7" xfId="1138" xr:uid="{7A43FD62-0982-4D90-AA4A-C5E198E1214D}"/>
    <cellStyle name="Comma 3 5" xfId="267" xr:uid="{77009BBE-86EC-4537-AA48-339CA992DC38}"/>
    <cellStyle name="Comma 3 5 2" xfId="951" xr:uid="{0A98DA9E-6108-4D52-B9C2-0E4023CF00E8}"/>
    <cellStyle name="Comma 3 5 2 2" xfId="1261" xr:uid="{DE3F0AFC-6B40-4AA0-96C8-B3AC32A6312F}"/>
    <cellStyle name="Comma 3 5 3" xfId="1462" xr:uid="{DEB7E1AA-ADA7-43CC-8217-F57AE1CC277C}"/>
    <cellStyle name="Comma 3 5 4" xfId="1139" xr:uid="{DD3CE536-5F10-4B11-84DF-96945CD2A742}"/>
    <cellStyle name="Comma 3 6" xfId="383" xr:uid="{63494C00-2A02-4A32-95FB-6050E956209B}"/>
    <cellStyle name="Comma 3 6 2" xfId="1262" xr:uid="{30643F47-11B1-4C7F-860B-7A5405DF6BC7}"/>
    <cellStyle name="Comma 3 6 3" xfId="1140" xr:uid="{911AE054-40E1-437C-B9BC-1E49DED4E4D7}"/>
    <cellStyle name="Comma 3 7" xfId="396" xr:uid="{8823E8D1-C17D-4296-9AE6-CB1B476E6BFE}"/>
    <cellStyle name="Comma 3 7 2" xfId="1263" xr:uid="{4F62D785-8BC0-46E1-A71D-EA7EE0D4DDC9}"/>
    <cellStyle name="Comma 3 7 3" xfId="1141" xr:uid="{3D21B573-1597-4FBF-8408-B945F2EDDA37}"/>
    <cellStyle name="Comma 3 8" xfId="512" xr:uid="{D43F166C-9797-46AD-8B79-62513B0C7822}"/>
    <cellStyle name="Comma 3 8 2" xfId="1251" xr:uid="{5662F869-26AE-4D3B-B4AE-538388278CF5}"/>
    <cellStyle name="Comma 3 9" xfId="679" xr:uid="{C54F1079-1885-43D2-8577-5430BAA0A279}"/>
    <cellStyle name="Comma 3 9 2" xfId="1291" xr:uid="{AA9484BE-43F5-4B21-BF8D-2D8FC6B2B0E2}"/>
    <cellStyle name="Comma 30" xfId="268" xr:uid="{B611DDC7-E90B-4355-96BF-A6EECCC7A676}"/>
    <cellStyle name="Comma 30 2" xfId="269" xr:uid="{649ED625-78A6-4147-A723-C1B3890BD346}"/>
    <cellStyle name="Comma 30 2 2" xfId="1006" xr:uid="{0424A989-92F5-4E2C-ABA2-4A62F56D21B4}"/>
    <cellStyle name="Comma 30 2 3" xfId="1517" xr:uid="{879EBDAB-77B6-4F3A-9718-77ED4C64CB30}"/>
    <cellStyle name="Comma 30 3" xfId="875" xr:uid="{5E6ECFE4-4490-4153-A20C-85B9F3E5872C}"/>
    <cellStyle name="Comma 30 4" xfId="1386" xr:uid="{13F9F8B1-7CBF-40DE-B57B-707B3806B7BB}"/>
    <cellStyle name="Comma 31" xfId="270" xr:uid="{1F6CA1A5-A32D-4A22-A1E1-E16044EA3C88}"/>
    <cellStyle name="Comma 31 2" xfId="885" xr:uid="{249E4F77-B536-4468-9E9D-F4A6EDF4659A}"/>
    <cellStyle name="Comma 31 3" xfId="1396" xr:uid="{E43F82F9-1111-4D29-AA6E-13897965ECEF}"/>
    <cellStyle name="Comma 32" xfId="271" xr:uid="{EA9C7E76-CF61-49B1-BA5B-17CC50E0D884}"/>
    <cellStyle name="Comma 32 2" xfId="272" xr:uid="{10EF0E9A-28C3-4473-8883-AA20D20B5F40}"/>
    <cellStyle name="Comma 32 2 2" xfId="1011" xr:uid="{74E739C5-3499-4AD8-9BBC-D8B5E592E6DE}"/>
    <cellStyle name="Comma 32 2 3" xfId="1522" xr:uid="{116FC831-739D-478A-8F0A-6AC1FAA7B018}"/>
    <cellStyle name="Comma 32 3" xfId="880" xr:uid="{9092A7D9-6D37-4B4D-8820-64C56153854B}"/>
    <cellStyle name="Comma 32 4" xfId="1391" xr:uid="{37A04594-F92F-4746-AA4C-8D8ACE8BA9EC}"/>
    <cellStyle name="Comma 33" xfId="273" xr:uid="{F0499C3E-4848-4307-9E8D-65D280A2A240}"/>
    <cellStyle name="Comma 33 2" xfId="963" xr:uid="{BF9B6F70-D65A-4C2F-9D69-A2BCA23762C9}"/>
    <cellStyle name="Comma 33 3" xfId="1474" xr:uid="{460E8545-121B-45AC-90CF-54D2FAA71413}"/>
    <cellStyle name="Comma 34" xfId="274" xr:uid="{0E73774A-9287-4DA8-89E2-E2093453B51C}"/>
    <cellStyle name="Comma 34 2" xfId="275" xr:uid="{662A0BD8-7D47-4D76-80DF-1B3C89C3D394}"/>
    <cellStyle name="Comma 34 2 2" xfId="1012" xr:uid="{4FC341E9-6F4A-4747-9867-6430A01A83F3}"/>
    <cellStyle name="Comma 34 2 3" xfId="1523" xr:uid="{3513005A-327F-48F1-BAE1-FF2C8D4672DB}"/>
    <cellStyle name="Comma 34 3" xfId="881" xr:uid="{F18A0332-4ECE-402B-9E87-B44B0B79B587}"/>
    <cellStyle name="Comma 34 4" xfId="1392" xr:uid="{A06BC157-995C-4D8C-8CC1-FAE28D86D4CE}"/>
    <cellStyle name="Comma 35" xfId="276" xr:uid="{2187ED47-5AD1-46CE-8177-5FCB1498F17B}"/>
    <cellStyle name="Comma 35 2" xfId="277" xr:uid="{69F1FA2D-73D8-4D6D-AA4C-A6CA7757FFD8}"/>
    <cellStyle name="Comma 35 2 2" xfId="1013" xr:uid="{5127124A-1CA2-4774-AC41-2496F047C406}"/>
    <cellStyle name="Comma 35 2 3" xfId="1524" xr:uid="{BD3FC74C-2D32-422C-A389-66076D088D9A}"/>
    <cellStyle name="Comma 35 3" xfId="882" xr:uid="{A65E4FC9-1C9B-4902-BD0E-CD7CE0884C11}"/>
    <cellStyle name="Comma 35 4" xfId="1393" xr:uid="{F458BD07-C8CD-4167-A389-B6D2B13478A6}"/>
    <cellStyle name="Comma 36" xfId="278" xr:uid="{AAAFAAE9-34BF-4D1D-92D9-63A8641B5616}"/>
    <cellStyle name="Comma 36 2" xfId="279" xr:uid="{544BE645-E639-454F-B9A2-C6D5FEE962F2}"/>
    <cellStyle name="Comma 36 2 2" xfId="1014" xr:uid="{EA5DA730-5502-412C-BF0D-CE4EB64BC61B}"/>
    <cellStyle name="Comma 36 2 3" xfId="1525" xr:uid="{BE11A827-58B9-41DA-958A-1D23A641D984}"/>
    <cellStyle name="Comma 36 3" xfId="883" xr:uid="{17C8B83E-2348-4519-ABE0-92F4A86B12F0}"/>
    <cellStyle name="Comma 36 4" xfId="1394" xr:uid="{5317205E-19B7-4D99-80CF-AE55B2BE56A9}"/>
    <cellStyle name="Comma 37" xfId="280" xr:uid="{F3BF2E6C-CB7F-449C-BB84-B29475B5F209}"/>
    <cellStyle name="Comma 37 2" xfId="975" xr:uid="{5F030DDD-51F1-4A8D-BEF4-87F3A7915C0C}"/>
    <cellStyle name="Comma 37 3" xfId="1486" xr:uid="{35F1441E-E5F3-4488-9E57-1089B033A413}"/>
    <cellStyle name="Comma 38" xfId="281" xr:uid="{D2BD7563-03D8-44F3-A755-426D136B23A1}"/>
    <cellStyle name="Comma 38 2" xfId="964" xr:uid="{793A3025-A7CA-4D90-A59C-48875F21E029}"/>
    <cellStyle name="Comma 38 3" xfId="1475" xr:uid="{BCE1E4A4-8DA1-401B-A8C0-B7BDBEB25B06}"/>
    <cellStyle name="Comma 39" xfId="282" xr:uid="{2B33AB9C-7D28-4140-95F9-650A7AFE0058}"/>
    <cellStyle name="Comma 39 2" xfId="976" xr:uid="{1339C31D-30F4-4C8E-80B4-98CAB6B49EBE}"/>
    <cellStyle name="Comma 39 3" xfId="1487" xr:uid="{37A183AC-A662-4002-9935-6ABC211825FD}"/>
    <cellStyle name="Comma 4" xfId="283" xr:uid="{5D81616A-94D6-4A3D-A521-CA0B56EA3663}"/>
    <cellStyle name="Comma 4 2" xfId="284" xr:uid="{7857DC43-EC02-46EB-BC92-26AE37765DCD}"/>
    <cellStyle name="Comma 4 2 2" xfId="285" xr:uid="{F4764844-511F-4091-B4A0-2C3D5795685E}"/>
    <cellStyle name="Comma 4 2 2 2" xfId="956" xr:uid="{360651B3-4DC0-40B4-BC50-38254A009098}"/>
    <cellStyle name="Comma 4 2 2 2 2" xfId="1265" xr:uid="{C8232065-3DA3-4102-8553-3EBB98812F43}"/>
    <cellStyle name="Comma 4 2 2 3" xfId="1467" xr:uid="{275FBBDC-A8F8-4E3C-84BE-E3B33BF07564}"/>
    <cellStyle name="Comma 4 2 2 4" xfId="1143" xr:uid="{B5443F5E-9348-449A-B548-5DFF090E13D7}"/>
    <cellStyle name="Comma 4 2 3" xfId="517" xr:uid="{F87AD07F-3135-472D-A7FB-213019B40219}"/>
    <cellStyle name="Comma 4 2 3 2" xfId="1266" xr:uid="{9A8E2FDB-BE71-4D06-8C87-3DA95501C45C}"/>
    <cellStyle name="Comma 4 2 3 3" xfId="1144" xr:uid="{E2143648-7BCE-4F10-A1C9-2BBD3406108E}"/>
    <cellStyle name="Comma 4 2 4" xfId="684" xr:uid="{199A99CD-2B38-431A-A4C2-31CAA2C1C986}"/>
    <cellStyle name="Comma 4 2 4 2" xfId="1264" xr:uid="{FE716F8C-893D-4DB4-A767-94C20C7DE779}"/>
    <cellStyle name="Comma 4 2 5" xfId="843" xr:uid="{20BFF321-B98E-40B6-A7A5-7484299ADE0E}"/>
    <cellStyle name="Comma 4 2 5 2" xfId="1354" xr:uid="{14A56BF6-683D-4190-8E75-CB0096D8BB5F}"/>
    <cellStyle name="Comma 4 2 6" xfId="1142" xr:uid="{E712B767-7C46-4B95-873A-BF09FED684FE}"/>
    <cellStyle name="Comma 4 3" xfId="380" xr:uid="{18BF6D98-44EC-4E1C-AE10-5B779AEF84E0}"/>
    <cellStyle name="Comma 4 4" xfId="393" xr:uid="{150622C8-7B70-4A06-8632-8682C5E00B07}"/>
    <cellStyle name="Comma 40" xfId="286" xr:uid="{710B0107-D868-49D7-BFEE-D7C68CAE7816}"/>
    <cellStyle name="Comma 40 2" xfId="965" xr:uid="{D7F34058-D2CC-4E94-8303-596DE5499A73}"/>
    <cellStyle name="Comma 40 3" xfId="1476" xr:uid="{AC2D335E-D4C2-4B22-86BC-11EF8B60C09E}"/>
    <cellStyle name="Comma 41" xfId="287" xr:uid="{AA8D4102-4A49-4750-B0BD-D5421A8BDC00}"/>
    <cellStyle name="Comma 41 2" xfId="977" xr:uid="{8BF213F1-A364-4E27-ABC1-CD9AD595FEF4}"/>
    <cellStyle name="Comma 41 3" xfId="1488" xr:uid="{5058B4FC-9FF7-4938-87BD-9B83551E3C17}"/>
    <cellStyle name="Comma 42" xfId="288" xr:uid="{E7080DA8-2B4C-4339-A606-8EE740283EB7}"/>
    <cellStyle name="Comma 42 2" xfId="966" xr:uid="{D45AED61-2EB4-47D8-8232-03926AE7D78E}"/>
    <cellStyle name="Comma 42 3" xfId="1477" xr:uid="{06D6A91C-CA9D-4617-978D-14CDDE4EA08C}"/>
    <cellStyle name="Comma 43" xfId="289" xr:uid="{58E9C18D-FB4E-46E5-88E2-973B77193D5D}"/>
    <cellStyle name="Comma 43 2" xfId="979" xr:uid="{2A534728-5341-4493-9B04-64921A03657A}"/>
    <cellStyle name="Comma 43 3" xfId="1490" xr:uid="{3CB8B231-2E6C-46AC-A80B-600D6BB40230}"/>
    <cellStyle name="Comma 44" xfId="290" xr:uid="{CAA1F4E2-3C71-4D7B-BB0E-4D66BAD1ADAB}"/>
    <cellStyle name="Comma 44 2" xfId="980" xr:uid="{F69D0E24-C6BC-4E93-B95B-CAD6068DADD2}"/>
    <cellStyle name="Comma 44 3" xfId="1491" xr:uid="{93229795-F45C-41C7-A4E8-4A100BE517BC}"/>
    <cellStyle name="Comma 45" xfId="291" xr:uid="{3F68FBFC-A00F-44E5-B64D-C88133683EC5}"/>
    <cellStyle name="Comma 45 2" xfId="1023" xr:uid="{82C4DF3B-B6FB-42E6-B9CA-0F9DCC21585B}"/>
    <cellStyle name="Comma 45 3" xfId="1534" xr:uid="{52948D89-4B77-4FF0-ACCB-BD94C930DA05}"/>
    <cellStyle name="Comma 46" xfId="292" xr:uid="{D412C541-E141-4DD9-9A4C-3FA1E703C603}"/>
    <cellStyle name="Comma 46 2" xfId="1024" xr:uid="{518D1936-6635-44A2-AAD2-CD31819607B6}"/>
    <cellStyle name="Comma 46 3" xfId="1535" xr:uid="{DE53A11F-C02E-4276-8461-16E7C9481DE0}"/>
    <cellStyle name="Comma 47" xfId="293" xr:uid="{0A7C0FD2-FF54-4C0D-96CC-7B5EAE418539}"/>
    <cellStyle name="Comma 47 2" xfId="884" xr:uid="{25DA6D65-2648-44F8-85F9-63B2F0CBF7B2}"/>
    <cellStyle name="Comma 47 3" xfId="1395" xr:uid="{E5304A25-4935-4D9F-A768-11592D014D89}"/>
    <cellStyle name="Comma 48" xfId="294" xr:uid="{AF44A143-B7EF-4463-A51B-F3845F806B45}"/>
    <cellStyle name="Comma 48 2" xfId="967" xr:uid="{AA3E4E1B-681A-47B5-BBB4-90B00E8F4BB0}"/>
    <cellStyle name="Comma 48 3" xfId="1478" xr:uid="{9594874F-0123-44FE-A7C9-FF91E39D96D3}"/>
    <cellStyle name="Comma 49" xfId="295" xr:uid="{865713A0-1363-4BCD-AC2D-59135D564AD9}"/>
    <cellStyle name="Comma 49 2" xfId="962" xr:uid="{96187B23-ACE3-4BF0-8E8C-016FA2795329}"/>
    <cellStyle name="Comma 49 3" xfId="1473" xr:uid="{AFB47F60-63A4-417F-81A2-B43A316D6592}"/>
    <cellStyle name="Comma 5" xfId="296" xr:uid="{2F1DAC0A-B33B-4F6C-BBE7-D1C3BE2CA3DF}"/>
    <cellStyle name="Comma 5 2" xfId="297" xr:uid="{5D4A83EC-C55F-418E-8315-F09D5D66E2BA}"/>
    <cellStyle name="Comma 5 2 2" xfId="298" xr:uid="{2CC2569E-C87F-44B2-88AD-E4EBBC134400}"/>
    <cellStyle name="Comma 5 2 2 2" xfId="957" xr:uid="{E91022F3-9923-4F22-9F81-6160DC5D7DDC}"/>
    <cellStyle name="Comma 5 2 2 2 2" xfId="1268" xr:uid="{58DB4737-990D-4A10-BD11-54DEC948F42D}"/>
    <cellStyle name="Comma 5 2 2 3" xfId="1468" xr:uid="{A0147110-9B10-4C47-A06A-34EB0B02B1F6}"/>
    <cellStyle name="Comma 5 2 2 4" xfId="1146" xr:uid="{8D281134-CF42-42F4-AF42-B7C61445B2E7}"/>
    <cellStyle name="Comma 5 2 3" xfId="519" xr:uid="{B3D1252B-6261-4999-A522-7F06FC884B59}"/>
    <cellStyle name="Comma 5 2 3 2" xfId="1269" xr:uid="{AE5255EA-6CC8-4AE7-A946-D89710F14EFC}"/>
    <cellStyle name="Comma 5 2 3 3" xfId="1147" xr:uid="{C5DB8A1A-82BD-494C-AEB0-4A13B13F0739}"/>
    <cellStyle name="Comma 5 2 4" xfId="685" xr:uid="{EE246A8A-647B-4AFD-B341-B053C6B4C3AA}"/>
    <cellStyle name="Comma 5 2 4 2" xfId="1267" xr:uid="{37332513-6CC0-46FC-A95C-4088F8B20DAB}"/>
    <cellStyle name="Comma 5 2 5" xfId="844" xr:uid="{E74C1ED3-6A7C-4A9F-91E8-BEF33CF9B405}"/>
    <cellStyle name="Comma 5 2 5 2" xfId="1355" xr:uid="{9628169F-34A2-4558-874A-2875CC9BF391}"/>
    <cellStyle name="Comma 5 2 6" xfId="1145" xr:uid="{9B0FF4AE-1E8C-42AC-B45D-D574B1965405}"/>
    <cellStyle name="Comma 5 3" xfId="299" xr:uid="{AB260B9F-02CA-4C30-942B-D58D7FC4A2EE}"/>
    <cellStyle name="Comma 5 3 2" xfId="300" xr:uid="{1BAFDCC6-16F0-4825-9FD5-2CFDE0D50F10}"/>
    <cellStyle name="Comma 5 3 2 2" xfId="301" xr:uid="{BB55D4F8-C338-4648-B0DB-AF0147EFD15B}"/>
    <cellStyle name="Comma 5 3 2 2 2" xfId="1021" xr:uid="{A7DB7E94-5FE5-45F5-BC46-7557056556B7}"/>
    <cellStyle name="Comma 5 3 2 2 3" xfId="1532" xr:uid="{57BF5DFC-7235-4ECA-A5FD-4C199CA093D5}"/>
    <cellStyle name="Comma 5 3 2 3" xfId="958" xr:uid="{E597DC6A-8849-46F9-B2F1-7A85398F2096}"/>
    <cellStyle name="Comma 5 3 2 3 2" xfId="1469" xr:uid="{F47F2F37-AA08-4969-A932-B9545AD22447}"/>
    <cellStyle name="Comma 5 3 2 4" xfId="1270" xr:uid="{C17DBCFD-BCF2-4F75-B33F-FED06D84AA4E}"/>
    <cellStyle name="Comma 5 3 3" xfId="302" xr:uid="{1D894B24-8264-402B-82B8-D12D7710C231}"/>
    <cellStyle name="Comma 5 3 3 2" xfId="971" xr:uid="{71691177-D6CB-462D-B05B-28ADFEA6CC75}"/>
    <cellStyle name="Comma 5 3 3 3" xfId="1482" xr:uid="{5E928A4A-0E27-4DC5-AAAA-1ED3FADC7342}"/>
    <cellStyle name="Comma 5 3 4" xfId="520" xr:uid="{90FBB5FF-026E-49AB-9E50-9DA1A438FA07}"/>
    <cellStyle name="Comma 5 3 5" xfId="686" xr:uid="{48DBBB36-C73E-4452-BFE6-4DC48B0392F5}"/>
    <cellStyle name="Comma 5 4" xfId="303" xr:uid="{58B00418-1B42-403F-9A06-494781013B7B}"/>
    <cellStyle name="Comma 5 4 2" xfId="1271" xr:uid="{8680AA09-A445-4B57-A79C-90AA143C4B53}"/>
    <cellStyle name="Comma 5 5" xfId="384" xr:uid="{1DFADEB4-59EA-4B68-9F2C-8C334AC6F75E}"/>
    <cellStyle name="Comma 5 5 2" xfId="1272" xr:uid="{594D7933-F30F-46BA-A317-D4D617336DDD}"/>
    <cellStyle name="Comma 5 5 3" xfId="1148" xr:uid="{C05A3D9D-40EA-4DFF-917B-01C9C8B285C8}"/>
    <cellStyle name="Comma 5 6" xfId="397" xr:uid="{05C6DA08-AC65-4851-B2CD-EB4E003451AC}"/>
    <cellStyle name="Comma 5 7" xfId="518" xr:uid="{3C636D8C-F971-410B-B82E-03FEBBD86C3D}"/>
    <cellStyle name="Comma 50" xfId="304" xr:uid="{9F9A84C1-250B-4E10-93BB-ACB7446C6D7F}"/>
    <cellStyle name="Comma 50 2" xfId="1022" xr:uid="{AE87501D-D9A9-47E1-B3BA-B2C151D17928}"/>
    <cellStyle name="Comma 50 3" xfId="1533" xr:uid="{F857A1A8-2032-4073-8981-1532ACA18C69}"/>
    <cellStyle name="Comma 51" xfId="305" xr:uid="{767119C9-65F9-4CE8-9CBB-2C918A135CD6}"/>
    <cellStyle name="Comma 51 2" xfId="1025" xr:uid="{533B67E7-4FE7-45A5-B7D6-A75650A92C30}"/>
    <cellStyle name="Comma 51 3" xfId="1287" xr:uid="{95EBA802-9417-4DDF-B1B7-2B38C1A8D130}"/>
    <cellStyle name="Comma 52" xfId="306" xr:uid="{15FC94DA-B83C-40BD-A1EE-51C97A1824BA}"/>
    <cellStyle name="Comma 52 2" xfId="1294" xr:uid="{67DA46AE-7723-4226-BC88-A2ADCD38592E}"/>
    <cellStyle name="Comma 53" xfId="307" xr:uid="{81BAA3D9-75AD-40EB-B2AD-026CF080BD50}"/>
    <cellStyle name="Comma 53 2" xfId="1295" xr:uid="{A9197BF0-3348-4593-8081-A082A35B4B7A}"/>
    <cellStyle name="Comma 54" xfId="308" xr:uid="{3BD26494-B65F-4D5D-97E1-C809EB2AB7DE}"/>
    <cellStyle name="Comma 54 2" xfId="1536" xr:uid="{481F338B-35D7-4B1A-B83B-0B37A2CA8E1B}"/>
    <cellStyle name="Comma 55" xfId="378" xr:uid="{AAA76EC2-BFA7-457F-B93D-241305443DF3}"/>
    <cellStyle name="Comma 55 2" xfId="1537" xr:uid="{22D2274B-8EE6-4DD8-95F1-CCEAD7FCD876}"/>
    <cellStyle name="Comma 56" xfId="391" xr:uid="{95D4D2FB-BDF4-4561-B440-E9E28EE7A9E5}"/>
    <cellStyle name="Comma 56 2" xfId="1543" xr:uid="{03D1BABE-7E82-456B-A03B-D219C187FCE9}"/>
    <cellStyle name="Comma 57" xfId="399" xr:uid="{978FBD1E-57DC-49FA-A17C-C68278959D6A}"/>
    <cellStyle name="Comma 57 2" xfId="1544" xr:uid="{F251179F-9595-4AA7-B1BF-E0A98E0620EB}"/>
    <cellStyle name="Comma 58" xfId="401" xr:uid="{58646DD9-E5ED-4D3A-92C9-6FA121418FBE}"/>
    <cellStyle name="Comma 59" xfId="559" xr:uid="{D98ACFE2-B7AA-48D0-805D-5D01D2527A7C}"/>
    <cellStyle name="Comma 6" xfId="309" xr:uid="{2C985CD4-ACF5-4A35-9737-1DDEB43D1D1E}"/>
    <cellStyle name="Comma 6 2" xfId="310" xr:uid="{E4065D5E-AEF2-46A1-8847-AE930514C8E7}"/>
    <cellStyle name="Comma 6 2 2" xfId="311" xr:uid="{E2A4501E-C5FD-4BC4-97B1-7A781227786C}"/>
    <cellStyle name="Comma 6 2 2 2" xfId="959" xr:uid="{727D6B2B-DF36-405D-AE3D-728D34FDF632}"/>
    <cellStyle name="Comma 6 2 2 2 2" xfId="1470" xr:uid="{177DCEB1-8767-43C0-967C-946989C41194}"/>
    <cellStyle name="Comma 6 2 2 3" xfId="1273" xr:uid="{9AE1A0E6-4D61-42D4-87B3-24F5E3CE2F4C}"/>
    <cellStyle name="Comma 6 2 3" xfId="522" xr:uid="{9F3DB689-9E34-4A4A-9C3D-983BDA50653B}"/>
    <cellStyle name="Comma 6 2 3 2" xfId="1356" xr:uid="{39EAA5A1-8F9E-4BCC-AECE-9711766326C6}"/>
    <cellStyle name="Comma 6 2 4" xfId="687" xr:uid="{23FEE354-4402-4131-A47F-42321A6FBF05}"/>
    <cellStyle name="Comma 6 2 5" xfId="845" xr:uid="{A0FB8CE5-CBAB-4355-BC81-07F2E1876617}"/>
    <cellStyle name="Comma 6 2 6" xfId="1149" xr:uid="{1A2FB860-32C9-47DA-A621-57618AAE108D}"/>
    <cellStyle name="Comma 6 3" xfId="312" xr:uid="{C8CEF173-07D0-4EC5-A84B-77F0F9707A03}"/>
    <cellStyle name="Comma 6 4" xfId="521" xr:uid="{5E32DB75-7E1E-4B02-BC27-4D9BDE3D4169}"/>
    <cellStyle name="Comma 60" xfId="611" xr:uid="{01D446B2-094A-4C31-B1AB-F2D8F6AAC5DE}"/>
    <cellStyle name="Comma 61" xfId="612" xr:uid="{5200FAF2-3D90-442B-9FE1-4CA713652CE5}"/>
    <cellStyle name="Comma 62" xfId="609" xr:uid="{FA1F86E3-69AE-483A-90A0-943D9D0D5CC5}"/>
    <cellStyle name="Comma 63" xfId="610" xr:uid="{54C028F7-5611-413C-9830-D91E5C5E3A3F}"/>
    <cellStyle name="Comma 64" xfId="614" xr:uid="{778B8260-4E62-4186-BEBD-25FD678F7424}"/>
    <cellStyle name="Comma 65" xfId="697" xr:uid="{DACAE8BA-B748-40F9-BB97-46F2A7B00B0D}"/>
    <cellStyle name="Comma 66" xfId="707" xr:uid="{6DD38906-4C0A-40F3-8B2A-D17B36D0873B}"/>
    <cellStyle name="Comma 67" xfId="691" xr:uid="{E20D6725-F4C6-4D98-BCEF-558326009596}"/>
    <cellStyle name="Comma 68" xfId="695" xr:uid="{DD8CF701-A89D-4A8F-A779-4530B2615EE2}"/>
    <cellStyle name="Comma 69" xfId="706" xr:uid="{04873057-CEA6-494B-BB61-4F5DA7BD5FA0}"/>
    <cellStyle name="Comma 7" xfId="313" xr:uid="{A4180277-B77A-4188-B8F9-4EBAAF244342}"/>
    <cellStyle name="Comma 7 2" xfId="314" xr:uid="{EB9650CC-E50A-4295-93D1-017770FE12CC}"/>
    <cellStyle name="Comma 7 2 2" xfId="315" xr:uid="{4990B120-2C7F-4F96-9713-94A7673CE63D}"/>
    <cellStyle name="Comma 7 2 2 2" xfId="960" xr:uid="{147C02F0-F29F-463C-92E7-6DECB9192D72}"/>
    <cellStyle name="Comma 7 2 2 2 2" xfId="1471" xr:uid="{B24808F6-98EF-44B8-866B-671EC44C38B5}"/>
    <cellStyle name="Comma 7 2 2 3" xfId="1274" xr:uid="{6E0E859C-D4A4-45C2-8369-E3822DDFDF5A}"/>
    <cellStyle name="Comma 7 2 3" xfId="524" xr:uid="{B81AC107-8250-44BE-89F3-634B6FB0C9FE}"/>
    <cellStyle name="Comma 7 2 3 2" xfId="1357" xr:uid="{19DA13E1-F0CA-474F-8127-8CE1A445E68F}"/>
    <cellStyle name="Comma 7 2 4" xfId="688" xr:uid="{DD6B80A1-A754-4CCF-94FA-4239E320ACEB}"/>
    <cellStyle name="Comma 7 2 5" xfId="846" xr:uid="{B3ED4875-9B9D-46B8-A76A-7483465B9FB0}"/>
    <cellStyle name="Comma 7 2 6" xfId="1150" xr:uid="{D23A05D3-3B31-444A-9087-EE5802F186A4}"/>
    <cellStyle name="Comma 7 3" xfId="316" xr:uid="{F28D7681-E375-4389-94EA-4768AA424030}"/>
    <cellStyle name="Comma 7 4" xfId="523" xr:uid="{8647209C-A5FA-42F4-8CAE-69FF0A0FF10F}"/>
    <cellStyle name="Comma 70" xfId="692" xr:uid="{2DBCF3B8-2299-48C4-A716-84635D311C2C}"/>
    <cellStyle name="Comma 71" xfId="704" xr:uid="{F807B63F-1CF5-4C36-A3EE-32987F5EF695}"/>
    <cellStyle name="Comma 72" xfId="694" xr:uid="{455F7BD7-8ADA-4725-A515-A2014C2BFC7C}"/>
    <cellStyle name="Comma 73" xfId="709" xr:uid="{22CBEB5B-2F31-4B53-894A-697C9B7EA670}"/>
    <cellStyle name="Comma 74" xfId="713" xr:uid="{32A85509-E75F-4B98-89C9-C1904DA27B8A}"/>
    <cellStyle name="Comma 75" xfId="715" xr:uid="{D0348786-9B13-421B-B1C5-E6FAB8430E37}"/>
    <cellStyle name="Comma 76" xfId="719" xr:uid="{BF55F67D-4194-47B6-A65C-59CEE113FE7F}"/>
    <cellStyle name="Comma 77" xfId="721" xr:uid="{BEE17C26-231C-4B0A-8FA8-E0C6C20AE3AC}"/>
    <cellStyle name="Comma 78" xfId="725" xr:uid="{47ED706D-A892-4A50-8C27-D2139B8C9EB7}"/>
    <cellStyle name="Comma 79" xfId="728" xr:uid="{6D943C96-446C-4A04-9546-7E030619737A}"/>
    <cellStyle name="Comma 8" xfId="317" xr:uid="{B1C34937-50B1-4E2E-8F6A-12B03A914BA3}"/>
    <cellStyle name="Comma 8 2" xfId="318" xr:uid="{0869F6F6-EF5B-475B-ADD5-EE72AF93CF67}"/>
    <cellStyle name="Comma 8 2 2" xfId="319" xr:uid="{FAA41C1F-C754-4CA7-973C-8CBF670134C0}"/>
    <cellStyle name="Comma 8 2 2 2" xfId="987" xr:uid="{AF9A736F-863C-426B-800E-6C618E7C0CD6}"/>
    <cellStyle name="Comma 8 2 2 3" xfId="1498" xr:uid="{002E0BE0-A7DD-473C-81A2-06A9F857203F}"/>
    <cellStyle name="Comma 8 2 3" xfId="320" xr:uid="{7BDB88E3-BC6C-4780-AB73-34B67DE05552}"/>
    <cellStyle name="Comma 8 2 3 2" xfId="1367" xr:uid="{43DC8665-1516-4F6E-A69F-868E961FD7A9}"/>
    <cellStyle name="Comma 8 2 4" xfId="856" xr:uid="{0079B44C-52A0-4C82-BBB2-1A83D6FB0B26}"/>
    <cellStyle name="Comma 8 2 5" xfId="1275" xr:uid="{BEF13417-5503-4379-9CFF-679C62A91376}"/>
    <cellStyle name="Comma 8 3" xfId="321" xr:uid="{590AAC3B-06DC-42F7-9FF2-1495FCF8B4BD}"/>
    <cellStyle name="Comma 8 3 2" xfId="973" xr:uid="{6FFC9FF0-5672-4AA7-8ACA-821700DACFB9}"/>
    <cellStyle name="Comma 8 3 3" xfId="1484" xr:uid="{2D182753-76C1-4085-8286-043A4158A5DA}"/>
    <cellStyle name="Comma 8 4" xfId="525" xr:uid="{D33EF516-D3F8-4966-B638-5465BE50E54E}"/>
    <cellStyle name="Comma 8 5" xfId="689" xr:uid="{6AD6A7D1-C373-4C25-ADCE-1B2B15D2A789}"/>
    <cellStyle name="Comma 80" xfId="729" xr:uid="{A3F49B81-6819-4E2D-866E-6C1A95B40878}"/>
    <cellStyle name="Comma 81" xfId="731" xr:uid="{9AEE6A67-90B7-44B9-9DD4-7038EE38502A}"/>
    <cellStyle name="Comma 82" xfId="773" xr:uid="{696CBA10-C5E8-4682-8E55-642D4479CD33}"/>
    <cellStyle name="Comma 83" xfId="1062" xr:uid="{0FC4B811-BC6A-4ACC-B199-3C97A3259EEF}"/>
    <cellStyle name="Comma 84" xfId="1069" xr:uid="{2D158B65-2E27-4CD6-A9D3-25FF75166DFB}"/>
    <cellStyle name="Comma 85" xfId="1546" xr:uid="{350E6162-DBA8-44CE-BF2E-02022E952975}"/>
    <cellStyle name="Comma 86" xfId="1550" xr:uid="{1944BA49-F02E-428B-8A91-5A612E6AEBDB}"/>
    <cellStyle name="Comma 87" xfId="1552" xr:uid="{8F88AD81-925E-4BD8-A559-298734636499}"/>
    <cellStyle name="Comma 88" xfId="1556" xr:uid="{391EB83D-0A24-453E-988F-AC4061921C14}"/>
    <cellStyle name="Comma 89" xfId="1560" xr:uid="{91012093-4304-4145-99BF-1E065A402946}"/>
    <cellStyle name="Comma 9" xfId="322" xr:uid="{18DAE145-957E-4FD6-AC18-04D6DAB41968}"/>
    <cellStyle name="Comma 9 2" xfId="323" xr:uid="{F71AE0A0-6B43-43C4-80A2-3D711012A60A}"/>
    <cellStyle name="Comma 9 2 2" xfId="961" xr:uid="{F4CEB991-C2F4-4E7B-8BF7-1776D2CC7A8E}"/>
    <cellStyle name="Comma 9 2 2 2" xfId="1472" xr:uid="{98494285-DDC4-46D9-B4D2-9636722248DC}"/>
    <cellStyle name="Comma 9 2 3" xfId="1276" xr:uid="{44D8DE20-DF6A-40C7-B8D5-FBF043315C8B}"/>
    <cellStyle name="Comma 9 3" xfId="526" xr:uid="{7BDF0AC9-ED94-4E2E-B579-345E6402F6D0}"/>
    <cellStyle name="Comma 9 3 2" xfId="1293" xr:uid="{A9CFA478-B5B6-4FD7-96B7-6BA91E7A5867}"/>
    <cellStyle name="Comma 9 4" xfId="690" xr:uid="{B40C3446-CFDD-4CBD-9DEE-65DE0ACBE43F}"/>
    <cellStyle name="Comma 9 5" xfId="765" xr:uid="{22C24D96-261B-4DFB-A56A-6AD41E10EFB0}"/>
    <cellStyle name="Comma 9 6" xfId="1151" xr:uid="{48D9E52E-08F7-4B72-A15D-0B0544E4485C}"/>
    <cellStyle name="Comma 90" xfId="6" xr:uid="{8A2FBD4D-5CE8-412A-8FE4-DAE75DF347C4}"/>
    <cellStyle name="Currency 2" xfId="324" xr:uid="{6409237C-6984-47E4-82D8-5BC96ED11F04}"/>
    <cellStyle name="Currency 2 2" xfId="527" xr:uid="{EC862C07-F396-4AA3-866E-F8C48D465640}"/>
    <cellStyle name="Currency 2 2 2" xfId="1152" xr:uid="{6EEEB54B-6C90-47A7-807A-7249FAF1D8CD}"/>
    <cellStyle name="Explanatory Text 2" xfId="325" xr:uid="{F96D1429-FD5B-4571-A2CF-7951670D23C8}"/>
    <cellStyle name="Explanatory Text 2 2" xfId="528" xr:uid="{73822E91-C96E-4B3E-A43E-F00E028B60AD}"/>
    <cellStyle name="Good 2" xfId="326" xr:uid="{491C46AE-1134-473F-AF0D-65A5270CF479}"/>
    <cellStyle name="Good 2 2" xfId="598" xr:uid="{93157F1E-2619-4C1F-8878-448795D401D4}"/>
    <cellStyle name="Good 2 2 2" xfId="1055" xr:uid="{289C476C-E01D-41F3-9F00-191C2E551130}"/>
    <cellStyle name="Good 2 3" xfId="529" xr:uid="{7D075CA5-C6D2-4326-B88A-47BEFAA5E6FA}"/>
    <cellStyle name="Good 2 4" xfId="766" xr:uid="{C52591D5-029E-4E81-BCBA-AE967C613013}"/>
    <cellStyle name="Heading 1 2" xfId="327" xr:uid="{062F0DB6-92F3-49BF-8DFC-7067DA0DAC80}"/>
    <cellStyle name="Heading 1 2 2" xfId="530" xr:uid="{1994E820-F5BB-42D0-9054-D34F37B3E8C1}"/>
    <cellStyle name="Heading 2 2" xfId="328" xr:uid="{BD4B6735-EDB1-4556-8775-5B67F3DE3D54}"/>
    <cellStyle name="Heading 2 2 2" xfId="531" xr:uid="{AFB0E654-90A4-4F2D-A3C7-F4A984E57FDB}"/>
    <cellStyle name="Heading 3 2" xfId="329" xr:uid="{EC69B645-A497-4CC9-9E35-B44F4F265F0C}"/>
    <cellStyle name="Heading 3 2 2" xfId="532" xr:uid="{B3FC9189-8DC4-4123-90C3-5EA801CF000C}"/>
    <cellStyle name="Heading 3 2 2 2" xfId="1056" xr:uid="{B4AE8B36-E21E-4809-BCED-E9014338541F}"/>
    <cellStyle name="Heading 4 2" xfId="330" xr:uid="{EB6B6638-28CC-4548-8169-383FEDF6D874}"/>
    <cellStyle name="Heading 4 2 2" xfId="533" xr:uid="{D8D1B328-39F5-43FE-A08E-86957699338C}"/>
    <cellStyle name="Hyperlink 2" xfId="331" xr:uid="{94EE692D-8D60-4923-9201-E46065673CDD}"/>
    <cellStyle name="Input 2" xfId="332" xr:uid="{889461B9-3893-4BA1-95D4-876687C78E0B}"/>
    <cellStyle name="Input 2 2" xfId="599" xr:uid="{68FF73D4-8FAD-4D41-AD5A-B0BB3481A7E9}"/>
    <cellStyle name="Input 2 2 2" xfId="1057" xr:uid="{1380E53D-0985-4B48-8255-11E0DF3F8F0F}"/>
    <cellStyle name="Input 2 2 2 2" xfId="1154" xr:uid="{0FB53B31-F63C-4595-A012-D6F8A7CB9CB3}"/>
    <cellStyle name="Input 2 2 3" xfId="1153" xr:uid="{3BC8ACCE-0C61-47DE-B929-65C464A53B83}"/>
    <cellStyle name="Input 2 3" xfId="534" xr:uid="{4A4155EF-37A2-478B-A1CE-BD38D9783537}"/>
    <cellStyle name="Input 2 3 2" xfId="1155" xr:uid="{B2C1F897-BD84-4294-AF1E-63797D54CA9E}"/>
    <cellStyle name="Input 2 4" xfId="767" xr:uid="{86BD120A-6122-481B-AB51-DBDAA05F9501}"/>
    <cellStyle name="Input 2 4 2" xfId="1540" xr:uid="{7E915F36-EF6A-46D3-9AE7-8DD8B6B8A4B1}"/>
    <cellStyle name="Input 3" xfId="1156" xr:uid="{4613A67C-8A8C-43B2-A7E0-5F0DE254E5A1}"/>
    <cellStyle name="Input 3 2" xfId="1157" xr:uid="{8FFC9FCD-B8BB-49EB-94B7-8191BD497A9A}"/>
    <cellStyle name="Linked Cell 2" xfId="333" xr:uid="{C24F4828-50F9-4DB4-AC43-7013B6257FAA}"/>
    <cellStyle name="Linked Cell 2 2" xfId="535" xr:uid="{194EDF6E-373D-4258-9B77-60E2D1AFB419}"/>
    <cellStyle name="Neutral 2" xfId="334" xr:uid="{C36D7A79-9D86-40C3-8E2E-60E3C5F160A8}"/>
    <cellStyle name="Neutral 2 2" xfId="600" xr:uid="{2E932BC3-47DA-454C-8977-A6CD68BFCB7D}"/>
    <cellStyle name="Neutral 2 2 2" xfId="1058" xr:uid="{B98D2075-E13F-452D-93B7-76D701701BD1}"/>
    <cellStyle name="Neutral 2 3" xfId="536" xr:uid="{9882ED6A-9A35-44ED-BCB5-FDCD68B3862F}"/>
    <cellStyle name="Neutral 2 4" xfId="768" xr:uid="{CE9FBB75-29CD-440D-8529-FEBBB6347035}"/>
    <cellStyle name="Normal" xfId="0" builtinId="0"/>
    <cellStyle name="Normal 10" xfId="335" xr:uid="{BB4D6E29-9904-46AA-85E1-9EBDEF080602}"/>
    <cellStyle name="Normal 10 2" xfId="336" xr:uid="{ED18806C-A941-4CE9-90A4-0BD8A77614E0}"/>
    <cellStyle name="Normal 10 2 2" xfId="601" xr:uid="{0A44BCC7-9EB7-4294-92AF-725CE4B8204B}"/>
    <cellStyle name="Normal 10 3" xfId="402" xr:uid="{C2E76235-9D09-42DA-8F68-55A0736EEBB5}"/>
    <cellStyle name="Normal 11" xfId="337" xr:uid="{6348F9C2-D4AF-475E-A399-AD43FED4A32E}"/>
    <cellStyle name="Normal 11 2" xfId="537" xr:uid="{A565F905-C181-47E8-B0E2-4B07664BCDF6}"/>
    <cellStyle name="Normal 11 3" xfId="693" xr:uid="{3F55868A-6064-4AEC-B6F8-0888F695A05C}"/>
    <cellStyle name="Normal 11 4" xfId="769" xr:uid="{529C4D89-FC2E-46B7-8B3C-1708F97112F4}"/>
    <cellStyle name="Normal 11 5" xfId="1158" xr:uid="{926630FF-5840-4B7A-92E3-F5C2D38DF1F1}"/>
    <cellStyle name="Normal 12" xfId="338" xr:uid="{3793DC85-5058-4F1D-9248-BD36B0AEAF27}"/>
    <cellStyle name="Normal 12 2" xfId="404" xr:uid="{D9B1FB67-9322-4384-ADCE-B4E849A367A5}"/>
    <cellStyle name="Normal 13" xfId="339" xr:uid="{7E637869-044A-45F6-B0A8-7CDAEE273B43}"/>
    <cellStyle name="Normal 13 2" xfId="340" xr:uid="{6AB13B9B-F7DD-463E-908C-3F08E61F31FE}"/>
    <cellStyle name="Normal 13 2 2" xfId="538" xr:uid="{F329707B-37FC-4B44-A401-0759DA844AA5}"/>
    <cellStyle name="Normal 13 3" xfId="407" xr:uid="{C6ED33CE-285E-4489-9119-A528EBE39E86}"/>
    <cellStyle name="Normal 13 3 2" xfId="1159" xr:uid="{E6654E5E-79B3-45E3-9935-52283B4F9D28}"/>
    <cellStyle name="Normal 13 4" xfId="1160" xr:uid="{339993A3-94EC-47DF-B340-132FD0C1D30C}"/>
    <cellStyle name="Normal 14" xfId="341" xr:uid="{509CFD36-EFF6-4937-9964-626A97B48F15}"/>
    <cellStyle name="Normal 14 2" xfId="539" xr:uid="{53113476-43AB-43C2-A701-4CBBB42CE723}"/>
    <cellStyle name="Normal 14 2 2" xfId="1161" xr:uid="{BE1F2955-706C-4C14-9E50-512D33DAA357}"/>
    <cellStyle name="Normal 15" xfId="342" xr:uid="{95468FD1-F5B4-4BA5-BB65-9B4D76FE8A04}"/>
    <cellStyle name="Normal 15 2" xfId="566" xr:uid="{ADC59D7D-EB36-4F21-A461-B35159748D76}"/>
    <cellStyle name="Normal 15 2 2" xfId="1286" xr:uid="{5ACA60F2-B7EB-4346-9FCB-9C66D6B03877}"/>
    <cellStyle name="Normal 15 3" xfId="1360" xr:uid="{9A403C00-92AE-49F4-8BC0-91ECD221C813}"/>
    <cellStyle name="Normal 15 4" xfId="1162" xr:uid="{45417987-77DD-40D4-81AB-B30848BCF24F}"/>
    <cellStyle name="Normal 16" xfId="377" xr:uid="{469755BE-4463-480C-BFB6-E8EF37AFA4F6}"/>
    <cellStyle name="Normal 16 2" xfId="1163" xr:uid="{A57E9F19-E6C8-4E9C-8DA4-6B629710771C}"/>
    <cellStyle name="Normal 17" xfId="390" xr:uid="{277BE421-5D60-4281-B10C-B32B5E4CC984}"/>
    <cellStyle name="Normal 18" xfId="400" xr:uid="{44ED7203-446A-4D28-94A8-DE01D8BDB6D1}"/>
    <cellStyle name="Normal 19" xfId="613" xr:uid="{8A40BB4F-FEAB-441E-82AD-933DA3C00210}"/>
    <cellStyle name="Normal 2" xfId="343" xr:uid="{A40A45C1-730B-41C7-A703-715B057C7934}"/>
    <cellStyle name="Normal 2 2" xfId="344" xr:uid="{D6F77251-2D01-46DB-8701-337691CFD767}"/>
    <cellStyle name="Normal 2 2 2" xfId="345" xr:uid="{19669C05-0129-44CF-B49C-292D6E5CD40C}"/>
    <cellStyle name="Normal 2 2 2 2" xfId="541" xr:uid="{4E752E65-AFA7-451B-936C-7B50D53E40E5}"/>
    <cellStyle name="Normal 2 2 3" xfId="540" xr:uid="{374C0FEE-2984-4540-BE0C-1DC69B5D3383}"/>
    <cellStyle name="Normal 2 3" xfId="346" xr:uid="{E356F482-995B-4F17-AC00-D46A7B916C37}"/>
    <cellStyle name="Normal 2 3 2" xfId="347" xr:uid="{62A1F805-6F0A-4EDF-B3E0-3835FCBF326A}"/>
    <cellStyle name="Normal 2 3 2 2" xfId="602" xr:uid="{E24FF512-DAAF-4C10-A5BA-85748152E5F6}"/>
    <cellStyle name="Normal 2 3 2 2 2" xfId="1364" xr:uid="{F76EB447-68A4-4D3E-B24D-55B0740D083F}"/>
    <cellStyle name="Normal 2 3 2 3" xfId="1164" xr:uid="{268EF376-0E61-41E8-9821-CF539C3AF3B2}"/>
    <cellStyle name="Normal 2 3 3" xfId="542" xr:uid="{BDE45411-2C24-4007-8BB1-520BE297D032}"/>
    <cellStyle name="Normal 2 4" xfId="348" xr:uid="{A4101192-B057-47DD-8B9F-5B0DFB471A53}"/>
    <cellStyle name="Normal 2 4 2" xfId="543" xr:uid="{F58E715B-D4A9-44F2-84B9-1A097F09138E}"/>
    <cellStyle name="Normal 2 5" xfId="349" xr:uid="{E85A90DE-E05D-43D6-9F23-AC14218684F9}"/>
    <cellStyle name="Normal 2 6" xfId="386" xr:uid="{4E1A443A-1B7C-4107-B69F-617D2C33AEF1}"/>
    <cellStyle name="Normal 2 7" xfId="403" xr:uid="{1AA8C40D-4D6C-4C55-8838-F61E5757B952}"/>
    <cellStyle name="Normal 2_KLA_MKT_AVERAGES modified" xfId="350" xr:uid="{407F20F1-C8BE-4FBA-BAAD-82EE7BE70498}"/>
    <cellStyle name="Normal 20" xfId="708" xr:uid="{AF1301A1-0498-4E92-A4E5-12CE089A0454}"/>
    <cellStyle name="Normal 21" xfId="712" xr:uid="{4CC646EB-AAA0-4C72-8F55-3CA179FE5A05}"/>
    <cellStyle name="Normal 22" xfId="714" xr:uid="{9665A84B-E228-45B4-B754-B8AFF047627D}"/>
    <cellStyle name="Normal 23" xfId="718" xr:uid="{AA9D0D79-4D32-4E82-ADB5-1A9FE950DEB8}"/>
    <cellStyle name="Normal 24" xfId="720" xr:uid="{0E78407A-7DFE-4426-933C-B97073647005}"/>
    <cellStyle name="Normal 25" xfId="726" xr:uid="{A398FE1D-DD79-4902-9BD4-251D789D33F9}"/>
    <cellStyle name="Normal 26" xfId="727" xr:uid="{C242574E-06F1-4A4F-900B-2A3618E49C38}"/>
    <cellStyle name="Normal 27" xfId="723" xr:uid="{91A5645B-D392-435A-9614-9B4AC3A4B24D}"/>
    <cellStyle name="Normal 28" xfId="730" xr:uid="{B953E6AB-CBEB-4A70-82C9-DC06C101E562}"/>
    <cellStyle name="Normal 29" xfId="1063" xr:uid="{017D23B8-84A2-4086-A458-40998E567287}"/>
    <cellStyle name="Normal 3" xfId="351" xr:uid="{E04F2910-3488-47D8-AB06-40E2AF97B03E}"/>
    <cellStyle name="Normal 3 2" xfId="352" xr:uid="{7C9F3F9C-C6D6-4A18-B4C5-34A891C3D8F7}"/>
    <cellStyle name="Normal 3 2 2" xfId="563" xr:uid="{32A09F6E-ADE2-4A00-B3D6-71FDE2E8844F}"/>
    <cellStyle name="Normal 3 3" xfId="544" xr:uid="{9382C131-C9A1-4571-B71A-098B489ED436}"/>
    <cellStyle name="Normal 30" xfId="1545" xr:uid="{7379ADDF-EF43-432E-B0C8-27721A713B60}"/>
    <cellStyle name="Normal 31" xfId="1549" xr:uid="{2F2A1ACA-822E-4BE2-A95C-242CB1D69B50}"/>
    <cellStyle name="Normal 32" xfId="1551" xr:uid="{4CCB4272-947D-4D1A-90D0-FFFB0F1107D3}"/>
    <cellStyle name="Normal 33" xfId="1555" xr:uid="{E359B5B7-06BF-4E3E-9023-53EE3B7EF1D3}"/>
    <cellStyle name="Normal 34" xfId="1559" xr:uid="{5715842C-1AA6-4AE7-903D-2D2E84A75CD7}"/>
    <cellStyle name="Normal 35" xfId="5" xr:uid="{9F85C54A-41DD-4709-9098-C13C7D4BB523}"/>
    <cellStyle name="Normal 4" xfId="353" xr:uid="{61ABFE35-37A5-483C-B810-7BB006F0869A}"/>
    <cellStyle name="Normal 4 2" xfId="354" xr:uid="{E6881F8B-FFA8-4593-A5E7-3D930B79CAFA}"/>
    <cellStyle name="Normal 4 2 2" xfId="546" xr:uid="{9566D20E-1D6F-40FD-AAAF-552B2DBF063F}"/>
    <cellStyle name="Normal 4 3" xfId="355" xr:uid="{E1C7BEE6-B994-4419-9F10-1B5CD725E49E}"/>
    <cellStyle name="Normal 4 3 2" xfId="547" xr:uid="{AC459CE2-10F0-47B8-92EB-6B587ED9F733}"/>
    <cellStyle name="Normal 4 4" xfId="545" xr:uid="{A48637B9-BE76-4A92-8214-3A97969A9B5C}"/>
    <cellStyle name="Normal 5" xfId="356" xr:uid="{9981821D-34C7-496C-914E-D4131D4F1AD5}"/>
    <cellStyle name="Normal 5 2" xfId="357" xr:uid="{3A5B0D00-ED8F-4522-A454-A19371119FB5}"/>
    <cellStyle name="Normal 5 2 2" xfId="549" xr:uid="{0583C6EF-D9B8-4D76-94DB-8439765EA708}"/>
    <cellStyle name="Normal 5 3" xfId="548" xr:uid="{20AB60F4-B4C6-4849-AA1B-1C232FE24EDD}"/>
    <cellStyle name="Normal 5 3 2" xfId="1165" xr:uid="{ED9E671E-B25E-4202-85CA-C3FFDABD83D4}"/>
    <cellStyle name="Normal 6" xfId="358" xr:uid="{2C516845-AB7A-46B2-B4AF-598C1C94FB86}"/>
    <cellStyle name="Normal 6 2" xfId="359" xr:uid="{A3318B96-E434-4670-A16A-53B2E6A470AE}"/>
    <cellStyle name="Normal 6 2 2" xfId="551" xr:uid="{A196369F-5EE4-4A0F-89F6-CE232631DFFA}"/>
    <cellStyle name="Normal 6 3" xfId="550" xr:uid="{769F57AE-C407-4073-808F-AACCB5DB2004}"/>
    <cellStyle name="Normal 6 3 2" xfId="1166" xr:uid="{7C9FF229-9AD8-4E81-A421-2EA05CBB94C8}"/>
    <cellStyle name="Normal 7" xfId="360" xr:uid="{F2E8551D-8856-48E2-A40C-F268FAE7B49C}"/>
    <cellStyle name="Normal 7 2" xfId="552" xr:uid="{A46CA377-9362-4DC2-BF2C-5C119DAE734E}"/>
    <cellStyle name="Normal 8" xfId="361" xr:uid="{226D31A5-BB38-41CB-B644-91D341C8BA1B}"/>
    <cellStyle name="Normal 8 2" xfId="362" xr:uid="{0981E237-156D-4FF4-AB38-B489CC9CDC19}"/>
    <cellStyle name="Normal 8 2 2" xfId="554" xr:uid="{C00DEAA7-F4C7-4937-9F23-7652AE6E27A2}"/>
    <cellStyle name="Normal 8 3" xfId="553" xr:uid="{F6C7B780-0562-445A-9776-C0D3715D2472}"/>
    <cellStyle name="Normal 9" xfId="363" xr:uid="{5EE77D50-6414-478A-8903-6A2A4A55BEB5}"/>
    <cellStyle name="Normal 9 2" xfId="364" xr:uid="{86830E86-0944-407F-A7A5-15BAA64E2782}"/>
    <cellStyle name="Normal 9 2 2" xfId="603" xr:uid="{517CEFAC-0B5E-47CF-B517-A99D94CF7FC1}"/>
    <cellStyle name="Normal 9 3" xfId="555" xr:uid="{DED26EB2-CE4F-4330-92DA-14A619C08148}"/>
    <cellStyle name="Normal 9 4" xfId="696" xr:uid="{649E9058-6B9B-4756-9F56-6178B2F7FCFC}"/>
    <cellStyle name="Normal 9 5" xfId="770" xr:uid="{AA30D1CE-87EE-4302-87BE-D7E11DCF6614}"/>
    <cellStyle name="Normal 9 6" xfId="1167" xr:uid="{7778339D-2303-4F95-8303-2E686C6343C2}"/>
    <cellStyle name="Normal_Sheet1_1" xfId="4" xr:uid="{CDB65ED8-316A-4A94-B6D5-95B9639B9320}"/>
    <cellStyle name="Normal_Sheet2" xfId="2" xr:uid="{38485D21-BA91-4D30-80F9-6C61D1A0689C}"/>
    <cellStyle name="Note 2" xfId="365" xr:uid="{29B781BA-C66F-4F7B-BF41-2BE8E5AB4C3F}"/>
    <cellStyle name="Note 2 2" xfId="366" xr:uid="{1BFAD413-5692-47BB-A039-962AE8FE56C2}"/>
    <cellStyle name="Note 2 2 2" xfId="557" xr:uid="{66F29BC8-E66F-4CAD-9891-584D26314017}"/>
    <cellStyle name="Note 2 2 2 2" xfId="1169" xr:uid="{3887E12A-0570-487F-946A-CE6391BBA589}"/>
    <cellStyle name="Note 2 2 3" xfId="847" xr:uid="{9A6C6325-E7BB-4125-A4FC-BCCD1C3E34B7}"/>
    <cellStyle name="Note 2 2 4" xfId="1168" xr:uid="{E7B09648-6E57-4967-BF75-12AD38C2BEBD}"/>
    <cellStyle name="Note 2 3" xfId="604" xr:uid="{1451B053-1FB5-4BAC-8345-BA55D0180089}"/>
    <cellStyle name="Note 2 3 2" xfId="1059" xr:uid="{5538C27F-078E-4949-8C70-837EE7EDC61C}"/>
    <cellStyle name="Note 2 3 2 2" xfId="1171" xr:uid="{C92A63AA-47C0-4536-AFF1-F4D2D26C02B1}"/>
    <cellStyle name="Note 2 3 3" xfId="1170" xr:uid="{0BEA57AA-B1E2-46B9-8901-39EBF908E37A}"/>
    <cellStyle name="Note 2 4" xfId="556" xr:uid="{554F78A8-F8DB-47E0-ACD2-055EF623911A}"/>
    <cellStyle name="Note 2 4 2" xfId="1172" xr:uid="{207E8806-84F3-4F7C-B2CB-54C6AC65530E}"/>
    <cellStyle name="Note 2 5" xfId="771" xr:uid="{F0A92C0E-E0A5-47FD-899E-7AB41E47EFE9}"/>
    <cellStyle name="Note 2 5 2" xfId="1541" xr:uid="{3872931C-F758-4C19-AFE2-15B93AD24C89}"/>
    <cellStyle name="Note 3" xfId="1173" xr:uid="{8BC3A585-AD95-4FB7-81E7-47ED6C737432}"/>
    <cellStyle name="Note 3 2" xfId="1174" xr:uid="{E283124F-D906-48C7-9F69-AA03AB6C1B58}"/>
    <cellStyle name="Note 4" xfId="1175" xr:uid="{8E752D1A-4380-4BCB-AE53-5D0FF90E0A8A}"/>
    <cellStyle name="Note 4 2" xfId="1176" xr:uid="{B6D87DB8-457E-4072-9167-3A7C48BB3EAE}"/>
    <cellStyle name="Output 2" xfId="367" xr:uid="{2AC2C91B-CBA3-42B0-82E1-29B4EF0F7701}"/>
    <cellStyle name="Output 2 2" xfId="605" xr:uid="{8DB71B49-4354-4435-95AD-F24C9392C6E0}"/>
    <cellStyle name="Output 2 2 2" xfId="1060" xr:uid="{BCF2EBA2-ECCE-4937-BA7B-87DFE4AAD770}"/>
    <cellStyle name="Output 2 2 2 2" xfId="1178" xr:uid="{F4F3FDDF-ADD3-4216-9C9C-D29298DFE281}"/>
    <cellStyle name="Output 2 2 3" xfId="1177" xr:uid="{E1864083-0E64-4C00-B714-F6C5EA772AF7}"/>
    <cellStyle name="Output 2 3" xfId="558" xr:uid="{E79A4B51-7E4B-4DB0-BB7E-533F0E32A927}"/>
    <cellStyle name="Output 2 3 2" xfId="1179" xr:uid="{62FCFD58-A26A-4069-BB84-ED31AE162A16}"/>
    <cellStyle name="Output 2 4" xfId="772" xr:uid="{C80D7105-BEB6-4AD7-A6A8-825F8C443F0B}"/>
    <cellStyle name="Output 2 4 2" xfId="1542" xr:uid="{F0580710-17D1-445B-9994-640606609F64}"/>
    <cellStyle name="Output 3" xfId="1180" xr:uid="{D9512759-113A-4806-80EF-64DE45D69E6D}"/>
    <cellStyle name="Output 3 2" xfId="1181" xr:uid="{6103DCB2-305E-483D-8A1A-CA5F9E154F01}"/>
    <cellStyle name="Percent 10" xfId="1547" xr:uid="{7B70C68D-B8F3-48F1-842B-FBEC40147B04}"/>
    <cellStyle name="Percent 11" xfId="1553" xr:uid="{5BA0E21E-BCCF-4732-BA21-907EEE7272EF}"/>
    <cellStyle name="Percent 12" xfId="1557" xr:uid="{B6B56B8F-B08D-476F-9148-DE2C8E94E424}"/>
    <cellStyle name="Percent 2" xfId="368" xr:uid="{BD98EA2F-4B43-4354-A625-3973A2AD891B}"/>
    <cellStyle name="Percent 2 2" xfId="369" xr:uid="{2085993E-5FA9-4D2F-A2B1-DF34A7A88406}"/>
    <cellStyle name="Percent 2 3" xfId="388" xr:uid="{87785D6B-ACE9-4D30-9FAD-FD80E5F53C58}"/>
    <cellStyle name="Percent 3" xfId="370" xr:uid="{E44B022B-AC8E-47AE-A8AE-C91407CA6670}"/>
    <cellStyle name="Percent 3 2" xfId="371" xr:uid="{3A409B5B-42F7-407F-B6C7-884C34867945}"/>
    <cellStyle name="Percent 3 2 2" xfId="606" xr:uid="{83834F4C-B540-468B-90A9-E61204D8A486}"/>
    <cellStyle name="Percent 3 3" xfId="389" xr:uid="{172CDDDA-517F-4903-B5C5-47DEDCF5744D}"/>
    <cellStyle name="Percent 4" xfId="372" xr:uid="{C6B8034B-55D7-4B0B-9968-18BBC85432EE}"/>
    <cellStyle name="Percent 4 2" xfId="373" xr:uid="{CC2C176C-2ACC-4BDD-8FA5-4DA8610A9318}"/>
    <cellStyle name="Percent 4 3" xfId="387" xr:uid="{01A180DE-FAFF-40C8-9EBC-09D3880E2990}"/>
    <cellStyle name="Percent 5" xfId="381" xr:uid="{D528B86E-EF6B-4548-B1A0-C986791D89B6}"/>
    <cellStyle name="Percent 6" xfId="394" xr:uid="{1DC8B352-601F-467F-8990-1314F35240D3}"/>
    <cellStyle name="Percent 7" xfId="710" xr:uid="{20E06D28-9E71-4446-B8C9-7D2C46CBC52A}"/>
    <cellStyle name="Percent 8" xfId="716" xr:uid="{E5F7306B-8772-48BE-AE6D-68A61ACC9681}"/>
    <cellStyle name="Percent 9" xfId="722" xr:uid="{B51BEF5F-69FF-4A7D-9E68-37F1F22582B6}"/>
    <cellStyle name="Title 2" xfId="374" xr:uid="{5D1708F8-BAA4-4B62-B72D-9E8A3974D192}"/>
    <cellStyle name="Title 2 2" xfId="607" xr:uid="{412C3DF5-B598-4B98-9591-10F0D99B5582}"/>
    <cellStyle name="Title 2 2 2" xfId="1061" xr:uid="{E1521392-9E7F-4BBD-B643-93E9AB881711}"/>
    <cellStyle name="Title 2 3" xfId="560" xr:uid="{51FD6812-55BB-4EDB-BDF8-2A0A025CF0D3}"/>
    <cellStyle name="Total 2" xfId="375" xr:uid="{653FAB47-8A60-47B3-9782-03205F657A3D}"/>
    <cellStyle name="Total 2 2" xfId="561" xr:uid="{A9584250-B3B5-4AB3-9039-DCA3FA6DEC2B}"/>
    <cellStyle name="Total 2 2 2" xfId="1183" xr:uid="{0E14B4D5-A0F6-4062-86EC-22A5D8252243}"/>
    <cellStyle name="Total 2 2 3" xfId="1182" xr:uid="{DAF328B6-8449-4324-BDA0-EFF00439989E}"/>
    <cellStyle name="Total 2 3" xfId="1184" xr:uid="{4B72652F-10DB-4FB7-832F-481AD76226E2}"/>
    <cellStyle name="Total 3" xfId="1185" xr:uid="{9ACF7D14-7AC5-43B7-A409-740E5D4F312C}"/>
    <cellStyle name="Total 3 2" xfId="1186" xr:uid="{F9A43E12-098B-4B80-B284-928D814C3AFF}"/>
    <cellStyle name="Warning Text 2" xfId="376" xr:uid="{AAC13061-7CD9-4817-B3CF-C3EB96BCDA02}"/>
    <cellStyle name="Warning Text 2 2" xfId="562" xr:uid="{00A4007E-9661-446D-BAE1-AB696DCC6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MES_PPI/PPI_M&amp;U/FEB%202026/UPDATED%20Rebased%20PPI%20M&amp;U%20February%20%202026.xlsx" TargetMode="External"/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/DMES_PPI/PPI_M&amp;U/FEB%202026/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T32"/>
  <sheetViews>
    <sheetView workbookViewId="0">
      <pane xSplit="3" ySplit="2" topLeftCell="DN13" activePane="bottomRight" state="frozen"/>
      <selection pane="topRight" activeCell="D1" sqref="D1"/>
      <selection pane="bottomLeft" activeCell="A3" sqref="A3"/>
      <selection pane="bottomRight" activeCell="DT10" sqref="DT10:DT32"/>
    </sheetView>
  </sheetViews>
  <sheetFormatPr defaultRowHeight="14.5"/>
  <cols>
    <col min="2" max="2" width="72.54296875" bestFit="1" customWidth="1"/>
  </cols>
  <sheetData>
    <row r="1" spans="1:124" s="1" customFormat="1" ht="15.5">
      <c r="A1" s="1" t="s">
        <v>0</v>
      </c>
    </row>
    <row r="2" spans="1:124" s="6" customFormat="1" ht="15.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  <c r="DQ2" s="5">
        <v>46113</v>
      </c>
      <c r="DR2" s="5">
        <v>46143</v>
      </c>
      <c r="DS2" s="5">
        <v>46174</v>
      </c>
      <c r="DT2" s="5">
        <v>46204</v>
      </c>
    </row>
    <row r="3" spans="1:124" s="7" customFormat="1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  <c r="DQ3" s="7">
        <v>126.28037234874508</v>
      </c>
      <c r="DR3" s="7">
        <v>126.74</v>
      </c>
      <c r="DS3" s="7">
        <v>126.65</v>
      </c>
      <c r="DT3" s="7">
        <v>127.57469696605351</v>
      </c>
    </row>
    <row r="4" spans="1:124" s="8" customFormat="1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  <c r="DQ4" s="8">
        <v>127.48156274909961</v>
      </c>
      <c r="DR4" s="8">
        <v>127.91</v>
      </c>
      <c r="DS4" s="8">
        <v>127.91</v>
      </c>
      <c r="DT4" s="8">
        <v>128.92781380517141</v>
      </c>
    </row>
    <row r="5" spans="1:124" s="8" customFormat="1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  <c r="DQ5" s="8">
        <v>116.90360732579101</v>
      </c>
      <c r="DR5" s="8">
        <v>117.62</v>
      </c>
      <c r="DS5" s="8">
        <v>116.81</v>
      </c>
      <c r="DT5" s="8">
        <v>117.0119596637356</v>
      </c>
    </row>
    <row r="8" spans="1:124">
      <c r="A8" s="9" t="s">
        <v>9</v>
      </c>
    </row>
    <row r="9" spans="1:124" s="6" customFormat="1" ht="15.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  <c r="DQ9" s="5">
        <v>46113</v>
      </c>
      <c r="DR9" s="5">
        <v>46143</v>
      </c>
      <c r="DS9" s="5">
        <v>46174</v>
      </c>
      <c r="DT9" s="5">
        <v>46204</v>
      </c>
    </row>
    <row r="10" spans="1:124" s="7" customFormat="1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  <c r="DQ10" s="7">
        <v>127.48156274909961</v>
      </c>
      <c r="DR10" s="7">
        <v>127.91</v>
      </c>
      <c r="DS10" s="7">
        <v>127.91</v>
      </c>
      <c r="DT10" s="7">
        <v>128.92781380517141</v>
      </c>
    </row>
    <row r="11" spans="1:124" s="8" customFormat="1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  <c r="DQ11" s="8">
        <v>138.04674301375618</v>
      </c>
      <c r="DR11" s="8">
        <v>138.91</v>
      </c>
      <c r="DS11" s="8">
        <v>138.56</v>
      </c>
      <c r="DT11" s="8">
        <v>140.77617185492198</v>
      </c>
    </row>
    <row r="12" spans="1:124" s="8" customFormat="1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  <c r="DQ12" s="8">
        <v>113.19409959565864</v>
      </c>
      <c r="DR12" s="8">
        <v>112.77</v>
      </c>
      <c r="DS12" s="8">
        <v>112.74</v>
      </c>
      <c r="DT12" s="8">
        <v>112.73714563148934</v>
      </c>
    </row>
    <row r="13" spans="1:124" s="8" customFormat="1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  <c r="DQ13" s="8">
        <v>91.813011018014222</v>
      </c>
      <c r="DR13" s="8">
        <v>92.28</v>
      </c>
      <c r="DS13" s="8">
        <v>91.75</v>
      </c>
      <c r="DT13" s="8">
        <v>91.692495644631876</v>
      </c>
    </row>
    <row r="14" spans="1:124" s="8" customFormat="1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  <c r="DQ14" s="8">
        <v>123.47168268488105</v>
      </c>
      <c r="DR14" s="8">
        <v>123.87</v>
      </c>
      <c r="DS14" s="8">
        <v>124.69</v>
      </c>
      <c r="DT14" s="8">
        <v>124.55343911121355</v>
      </c>
    </row>
    <row r="15" spans="1:124" s="8" customFormat="1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  <c r="DQ15" s="8">
        <v>122.71061731450217</v>
      </c>
      <c r="DR15" s="8">
        <v>122.71</v>
      </c>
      <c r="DS15" s="8">
        <v>122.71</v>
      </c>
      <c r="DT15" s="8">
        <v>122.71061731450217</v>
      </c>
    </row>
    <row r="16" spans="1:124" s="8" customFormat="1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  <c r="DQ16" s="8">
        <v>116.46361225799623</v>
      </c>
      <c r="DR16" s="8">
        <v>118.74</v>
      </c>
      <c r="DS16" s="8">
        <v>124.77</v>
      </c>
      <c r="DT16" s="8">
        <v>128.82654345995491</v>
      </c>
    </row>
    <row r="17" spans="1:124" s="8" customFormat="1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  <c r="DQ17" s="8">
        <v>103.26910217211778</v>
      </c>
      <c r="DR17" s="8">
        <v>103.36</v>
      </c>
      <c r="DS17" s="8">
        <v>103.26</v>
      </c>
      <c r="DT17" s="8">
        <v>103.24649766598679</v>
      </c>
    </row>
    <row r="18" spans="1:124" s="8" customFormat="1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  <c r="DQ18" s="8">
        <v>122.41425545773994</v>
      </c>
      <c r="DR18" s="8">
        <v>122.53</v>
      </c>
      <c r="DS18" s="8">
        <v>122.75</v>
      </c>
      <c r="DT18" s="8">
        <v>122.73800628512771</v>
      </c>
    </row>
    <row r="19" spans="1:124" s="8" customFormat="1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  <c r="DQ19" s="8">
        <v>110.82005671436382</v>
      </c>
      <c r="DR19" s="8">
        <v>110.82</v>
      </c>
      <c r="DS19" s="8">
        <v>111.91</v>
      </c>
      <c r="DT19" s="8">
        <v>112.17609272485244</v>
      </c>
    </row>
    <row r="20" spans="1:124" s="8" customFormat="1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  <c r="DQ20" s="8">
        <v>138.78323725949565</v>
      </c>
      <c r="DR20" s="8">
        <v>139.01</v>
      </c>
      <c r="DS20" s="8">
        <v>140.59</v>
      </c>
      <c r="DT20" s="8">
        <v>141.08102103454218</v>
      </c>
    </row>
    <row r="21" spans="1:124" s="8" customFormat="1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  <c r="DQ21" s="8">
        <v>114.19504992650512</v>
      </c>
      <c r="DR21" s="8">
        <v>114.51</v>
      </c>
      <c r="DS21" s="8">
        <v>114.15</v>
      </c>
      <c r="DT21" s="8">
        <v>114.11305201573128</v>
      </c>
    </row>
    <row r="22" spans="1:124" s="8" customFormat="1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  <c r="DQ22" s="8">
        <v>109.4588225065495</v>
      </c>
      <c r="DR22" s="8">
        <v>109.48</v>
      </c>
      <c r="DS22" s="8">
        <v>109.49</v>
      </c>
      <c r="DT22" s="8">
        <v>110.2180248173309</v>
      </c>
    </row>
    <row r="23" spans="1:124" s="8" customFormat="1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  <c r="DQ23" s="8">
        <v>108.54740013533451</v>
      </c>
      <c r="DR23" s="8">
        <v>108.55</v>
      </c>
      <c r="DS23" s="8">
        <v>108.54</v>
      </c>
      <c r="DT23" s="8">
        <v>108.57702921402166</v>
      </c>
    </row>
    <row r="24" spans="1:124" s="8" customFormat="1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  <c r="DQ24" s="8">
        <v>124.6540872029388</v>
      </c>
      <c r="DR24" s="8">
        <v>124.62</v>
      </c>
      <c r="DS24" s="8">
        <v>124.52</v>
      </c>
      <c r="DT24" s="8">
        <v>125.17856620289706</v>
      </c>
    </row>
    <row r="25" spans="1:124" s="8" customFormat="1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  <c r="DQ25" s="8">
        <v>124.35766757412064</v>
      </c>
      <c r="DR25" s="8">
        <v>125.11</v>
      </c>
      <c r="DS25" s="8">
        <v>124.38</v>
      </c>
      <c r="DT25" s="8">
        <v>124.57155856053214</v>
      </c>
    </row>
    <row r="26" spans="1:124" s="8" customFormat="1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  <c r="DQ26" s="8">
        <v>117.22966327542005</v>
      </c>
      <c r="DR26" s="8">
        <v>117.27</v>
      </c>
      <c r="DS26" s="8">
        <v>117.23</v>
      </c>
      <c r="DT26" s="8">
        <v>117.246596291568</v>
      </c>
    </row>
    <row r="27" spans="1:124" s="8" customFormat="1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  <c r="DQ27" s="8">
        <v>133.67659903547948</v>
      </c>
      <c r="DR27" s="8">
        <v>133.68</v>
      </c>
      <c r="DS27" s="8">
        <v>133.68</v>
      </c>
      <c r="DT27" s="8">
        <v>133.41147680973967</v>
      </c>
    </row>
    <row r="28" spans="1:124" s="7" customFormat="1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  <c r="DQ28" s="7">
        <v>116.90360732579101</v>
      </c>
      <c r="DR28" s="7">
        <v>117.62</v>
      </c>
      <c r="DS28" s="7">
        <v>116.81</v>
      </c>
      <c r="DT28" s="7">
        <v>117.0119596637356</v>
      </c>
    </row>
    <row r="29" spans="1:124" s="8" customFormat="1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  <c r="DQ29" s="8">
        <v>122.86977274248109</v>
      </c>
      <c r="DR29" s="8">
        <v>124.44</v>
      </c>
      <c r="DS29" s="8">
        <v>122.67</v>
      </c>
      <c r="DT29" s="8">
        <v>122.4669670308264</v>
      </c>
    </row>
    <row r="30" spans="1:124" s="8" customFormat="1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  <c r="DQ30" s="8">
        <v>112.6481280529777</v>
      </c>
      <c r="DR30" s="8">
        <v>112.65</v>
      </c>
      <c r="DS30" s="8">
        <v>112.65</v>
      </c>
      <c r="DT30" s="8">
        <v>112.6481280529777</v>
      </c>
    </row>
    <row r="31" spans="1:124" s="8" customFormat="1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  <c r="DQ31" s="8">
        <v>99.397305245416177</v>
      </c>
      <c r="DR31" s="8">
        <v>99.4</v>
      </c>
      <c r="DS31" s="8">
        <v>99.4</v>
      </c>
      <c r="DT31" s="8">
        <v>99.397305245416177</v>
      </c>
    </row>
    <row r="32" spans="1:124" s="8" customFormat="1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  <c r="DQ32" s="8">
        <v>105.86382498025658</v>
      </c>
      <c r="DR32" s="8">
        <v>105.86</v>
      </c>
      <c r="DS32" s="8">
        <v>105.86</v>
      </c>
      <c r="DT32" s="8">
        <v>110.85745119323929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H27"/>
  <sheetViews>
    <sheetView workbookViewId="0">
      <pane xSplit="3" ySplit="1" topLeftCell="DB7" activePane="bottomRight" state="frozen"/>
      <selection pane="topRight" activeCell="D1" sqref="D1"/>
      <selection pane="bottomLeft" activeCell="A2" sqref="A2"/>
      <selection pane="bottomRight" activeCell="DH5" sqref="DH5:DH27"/>
    </sheetView>
  </sheetViews>
  <sheetFormatPr defaultRowHeight="14.5"/>
  <cols>
    <col min="1" max="1" width="24" style="9" bestFit="1" customWidth="1"/>
    <col min="2" max="2" width="66.453125" bestFit="1" customWidth="1"/>
  </cols>
  <sheetData>
    <row r="1" spans="1:112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  <c r="DH1" s="12">
        <v>46204</v>
      </c>
    </row>
    <row r="2" spans="1:112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  <c r="DE2" s="15">
        <v>0.85458150600890015</v>
      </c>
      <c r="DF2" s="15">
        <v>1</v>
      </c>
      <c r="DG2" s="15">
        <v>1</v>
      </c>
      <c r="DH2" s="15">
        <v>1.824791855321406</v>
      </c>
    </row>
    <row r="3" spans="1:112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  <c r="DE3" s="13">
        <v>0.83570164396578051</v>
      </c>
      <c r="DF3" s="13">
        <v>0.9</v>
      </c>
      <c r="DG3" s="13">
        <v>0.9</v>
      </c>
      <c r="DH3" s="13">
        <v>1.8143119217403303</v>
      </c>
    </row>
    <row r="4" spans="1:112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  <c r="DE4" s="13">
        <v>1.0155843393103492</v>
      </c>
      <c r="DF4" s="13">
        <v>1.8</v>
      </c>
      <c r="DG4" s="13">
        <v>1.7</v>
      </c>
      <c r="DH4" s="13">
        <v>1.9150207095741667</v>
      </c>
    </row>
    <row r="5" spans="1:112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  <c r="DE5" s="15">
        <v>0.83570164396578051</v>
      </c>
      <c r="DF5" s="15">
        <v>0.9</v>
      </c>
      <c r="DG5" s="15">
        <v>0.9</v>
      </c>
      <c r="DH5" s="15">
        <v>1.8143119217403303</v>
      </c>
    </row>
    <row r="6" spans="1:112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  <c r="DE6" s="13">
        <v>0.74142876099982935</v>
      </c>
      <c r="DF6" s="13">
        <v>0.7</v>
      </c>
      <c r="DG6" s="13">
        <v>0.3</v>
      </c>
      <c r="DH6" s="13">
        <v>1.6607420846144638</v>
      </c>
    </row>
    <row r="7" spans="1:112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  <c r="DE7" s="13">
        <v>-0.15758338003468708</v>
      </c>
      <c r="DF7" s="13">
        <v>-0.5</v>
      </c>
      <c r="DG7" s="13">
        <v>-0.6</v>
      </c>
      <c r="DH7" s="13">
        <v>-0.56063785221749374</v>
      </c>
    </row>
    <row r="8" spans="1:112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  <c r="DE8" s="13">
        <v>-0.95416913684732707</v>
      </c>
      <c r="DF8" s="13">
        <v>-0.3</v>
      </c>
      <c r="DG8" s="13">
        <v>-0.4</v>
      </c>
      <c r="DH8" s="13">
        <v>-0.3265382968974162</v>
      </c>
    </row>
    <row r="9" spans="1:112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  <c r="DE9" s="13">
        <v>-0.44120785539596419</v>
      </c>
      <c r="DF9" s="13">
        <v>0.5</v>
      </c>
      <c r="DG9" s="13">
        <v>1.2</v>
      </c>
      <c r="DH9" s="13">
        <v>1.0439337408448379</v>
      </c>
    </row>
    <row r="10" spans="1:112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  <c r="DE10" s="13">
        <v>-0.15144675802012397</v>
      </c>
      <c r="DF10" s="13">
        <v>-0.2</v>
      </c>
      <c r="DG10" s="13">
        <v>-0.3</v>
      </c>
      <c r="DH10" s="13">
        <v>-0.15144675802013507</v>
      </c>
    </row>
    <row r="11" spans="1:112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8</v>
      </c>
      <c r="DG11" s="13">
        <v>13.5</v>
      </c>
      <c r="DH11" s="13">
        <v>17.183217318497945</v>
      </c>
    </row>
    <row r="12" spans="1:112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  <c r="DE12" s="13">
        <v>6.5033607251533621</v>
      </c>
      <c r="DF12" s="13">
        <v>7.1</v>
      </c>
      <c r="DG12" s="13">
        <v>7.1</v>
      </c>
      <c r="DH12" s="13">
        <v>7.0959211352593199</v>
      </c>
    </row>
    <row r="13" spans="1:112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  <c r="DE13" s="13">
        <v>9.1988124742847788E-2</v>
      </c>
      <c r="DF13" s="13">
        <v>0.9</v>
      </c>
      <c r="DG13" s="13">
        <v>1.2</v>
      </c>
      <c r="DH13" s="13">
        <v>0.83534230181792068</v>
      </c>
    </row>
    <row r="14" spans="1:112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  <c r="DE14" s="13">
        <v>1.7891881482527072</v>
      </c>
      <c r="DF14" s="13">
        <v>1.8</v>
      </c>
      <c r="DG14" s="13">
        <v>2.8</v>
      </c>
      <c r="DH14" s="13">
        <v>3.0347190449134365</v>
      </c>
    </row>
    <row r="15" spans="1:112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  <c r="DE15" s="13">
        <v>0.41294751586091749</v>
      </c>
      <c r="DF15" s="13">
        <v>0.6</v>
      </c>
      <c r="DG15" s="13">
        <v>2.2999999999999998</v>
      </c>
      <c r="DH15" s="13">
        <v>3.2211013195775351</v>
      </c>
    </row>
    <row r="16" spans="1:112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  <c r="DE16" s="13">
        <v>1.592807614935654</v>
      </c>
      <c r="DF16" s="13">
        <v>2</v>
      </c>
      <c r="DG16" s="13">
        <v>1.9</v>
      </c>
      <c r="DH16" s="13">
        <v>2.0294798354065113</v>
      </c>
    </row>
    <row r="17" spans="1:112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  <c r="DE17" s="13">
        <v>1.7787109563449643</v>
      </c>
      <c r="DF17" s="13">
        <v>2.1</v>
      </c>
      <c r="DG17" s="13">
        <v>2.1</v>
      </c>
      <c r="DH17" s="13">
        <v>2.7973088434593008</v>
      </c>
    </row>
    <row r="18" spans="1:112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  <c r="DE18" s="13">
        <v>3.6664603421076691</v>
      </c>
      <c r="DF18" s="13">
        <v>3.7</v>
      </c>
      <c r="DG18" s="13">
        <v>3.7</v>
      </c>
      <c r="DH18" s="13">
        <v>4.704899951746544</v>
      </c>
    </row>
    <row r="19" spans="1:112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  <c r="DE19" s="13">
        <v>-0.77968019494047969</v>
      </c>
      <c r="DF19" s="13">
        <v>-0.7</v>
      </c>
      <c r="DG19" s="13">
        <v>-0.7</v>
      </c>
      <c r="DH19" s="13">
        <v>0.28327240765120276</v>
      </c>
    </row>
    <row r="20" spans="1:112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  <c r="DE20" s="13">
        <v>0.43658870311056308</v>
      </c>
      <c r="DF20" s="13">
        <v>1.3</v>
      </c>
      <c r="DG20" s="13">
        <v>1.3</v>
      </c>
      <c r="DH20" s="13">
        <v>1.6862336679479784</v>
      </c>
    </row>
    <row r="21" spans="1:112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  <c r="DE21" s="13">
        <v>4.1745095058212334</v>
      </c>
      <c r="DF21" s="13">
        <v>4.2</v>
      </c>
      <c r="DG21" s="13">
        <v>4.2</v>
      </c>
      <c r="DH21" s="13">
        <v>4.2444832992251103</v>
      </c>
    </row>
    <row r="22" spans="1:112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  <c r="DE22" s="13">
        <v>0.66688198002968768</v>
      </c>
      <c r="DF22" s="13">
        <v>0.8</v>
      </c>
      <c r="DG22" s="13">
        <v>0.8</v>
      </c>
      <c r="DH22" s="13">
        <v>1.0265071171272844</v>
      </c>
    </row>
    <row r="23" spans="1:112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  <c r="DE23" s="15">
        <v>1.0155843393103492</v>
      </c>
      <c r="DF23" s="15">
        <v>1.8</v>
      </c>
      <c r="DG23" s="15">
        <v>1.7</v>
      </c>
      <c r="DH23" s="15">
        <v>1.9150207095741667</v>
      </c>
    </row>
    <row r="24" spans="1:112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  <c r="DE24" s="13">
        <v>1.2831647771815113</v>
      </c>
      <c r="DF24" s="13">
        <v>3</v>
      </c>
      <c r="DG24" s="13">
        <v>2.9</v>
      </c>
      <c r="DH24" s="13">
        <v>3.2886279665137463</v>
      </c>
    </row>
    <row r="25" spans="1:112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  <c r="DE25" s="13">
        <v>0.21817025992703076</v>
      </c>
      <c r="DF25" s="13">
        <v>0.2</v>
      </c>
      <c r="DG25" s="13">
        <v>0.2</v>
      </c>
      <c r="DH25" s="13">
        <v>0.21817025992703076</v>
      </c>
    </row>
    <row r="26" spans="1:112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</row>
    <row r="27" spans="1:112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  <c r="DE27" s="13">
        <v>5.8579753078545238</v>
      </c>
      <c r="DF27" s="13">
        <v>4.5999999999999996</v>
      </c>
      <c r="DG27" s="13">
        <v>4.5999999999999996</v>
      </c>
      <c r="DH27" s="13">
        <v>4.7170279497401602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H27"/>
  <sheetViews>
    <sheetView workbookViewId="0">
      <pane xSplit="3" ySplit="1" topLeftCell="DA7" activePane="bottomRight" state="frozen"/>
      <selection pane="topRight" activeCell="D1" sqref="D1"/>
      <selection pane="bottomLeft" activeCell="A2" sqref="A2"/>
      <selection pane="bottomRight" activeCell="DH5" sqref="DH5:DH27"/>
    </sheetView>
  </sheetViews>
  <sheetFormatPr defaultRowHeight="14.5"/>
  <cols>
    <col min="2" max="2" width="65.26953125" bestFit="1" customWidth="1"/>
  </cols>
  <sheetData>
    <row r="1" spans="1:112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  <c r="DH1" s="12">
        <v>46204</v>
      </c>
    </row>
    <row r="2" spans="1:112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0.1940867562904014</v>
      </c>
      <c r="DF2" s="15">
        <v>0.4</v>
      </c>
      <c r="DG2" s="15">
        <v>-0.1</v>
      </c>
      <c r="DH2" s="15">
        <v>0.73218902495686411</v>
      </c>
    </row>
    <row r="3" spans="1:112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  <c r="DE3" s="13">
        <v>0.25046058785853642</v>
      </c>
      <c r="DF3" s="13">
        <v>0.3</v>
      </c>
      <c r="DG3" s="13">
        <v>0</v>
      </c>
      <c r="DH3" s="13">
        <v>0.79779122289476145</v>
      </c>
    </row>
    <row r="4" spans="1:112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  <c r="DE4" s="13">
        <v>-0.28324459757891329</v>
      </c>
      <c r="DF4" s="13">
        <v>0.6</v>
      </c>
      <c r="DG4" s="13">
        <v>-0.7</v>
      </c>
      <c r="DH4" s="13">
        <v>0.17143960135510561</v>
      </c>
    </row>
    <row r="5" spans="1:112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  <c r="DE5" s="15">
        <v>0.25046058785853642</v>
      </c>
      <c r="DF5" s="15">
        <v>0.3</v>
      </c>
      <c r="DG5" s="15">
        <v>0</v>
      </c>
      <c r="DH5" s="15">
        <v>0.79779122289476145</v>
      </c>
    </row>
    <row r="6" spans="1:112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  <c r="DE6" s="13">
        <v>-0.35426174939786614</v>
      </c>
      <c r="DF6" s="13">
        <v>0.6</v>
      </c>
      <c r="DG6" s="13">
        <v>-0.3</v>
      </c>
      <c r="DH6" s="13">
        <v>1.601537356829108</v>
      </c>
    </row>
    <row r="7" spans="1:112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  <c r="DE7" s="13">
        <v>0</v>
      </c>
      <c r="DF7" s="13">
        <v>-0.4</v>
      </c>
      <c r="DG7" s="13">
        <v>0</v>
      </c>
      <c r="DH7" s="13">
        <v>0</v>
      </c>
    </row>
    <row r="8" spans="1:112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  <c r="DE8" s="13">
        <v>-0.14846348796030417</v>
      </c>
      <c r="DF8" s="13">
        <v>0.5</v>
      </c>
      <c r="DG8" s="13">
        <v>-0.6</v>
      </c>
      <c r="DH8" s="13">
        <v>-6.6017092559556012E-2</v>
      </c>
    </row>
    <row r="9" spans="1:112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  <c r="DE9" s="13">
        <v>0.10662962101810614</v>
      </c>
      <c r="DF9" s="13">
        <v>0.3</v>
      </c>
      <c r="DG9" s="13">
        <v>0.7</v>
      </c>
      <c r="DH9" s="13">
        <v>-0.11190790159791852</v>
      </c>
    </row>
    <row r="10" spans="1:112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</row>
    <row r="11" spans="1:112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2</v>
      </c>
      <c r="DG11" s="13">
        <v>5.0999999999999996</v>
      </c>
      <c r="DH11" s="13">
        <v>3.24810319761204</v>
      </c>
    </row>
    <row r="12" spans="1:112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  <c r="DE12" s="13">
        <v>-3.1397194357044467</v>
      </c>
      <c r="DF12" s="13">
        <v>0.1</v>
      </c>
      <c r="DG12" s="13">
        <v>-0.1</v>
      </c>
      <c r="DH12" s="13">
        <v>-1.1005876548553228E-2</v>
      </c>
    </row>
    <row r="13" spans="1:112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  <c r="DE13" s="13">
        <v>-2.6528641311274193E-2</v>
      </c>
      <c r="DF13" s="13">
        <v>0.1</v>
      </c>
      <c r="DG13" s="13">
        <v>0.2</v>
      </c>
      <c r="DH13" s="13">
        <v>-1.1828610305542053E-2</v>
      </c>
    </row>
    <row r="14" spans="1:112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  <c r="DE14" s="13">
        <v>-0.21157626078908143</v>
      </c>
      <c r="DF14" s="13">
        <v>0</v>
      </c>
      <c r="DG14" s="13">
        <v>1</v>
      </c>
      <c r="DH14" s="13">
        <v>0.2344087880535195</v>
      </c>
    </row>
    <row r="15" spans="1:112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  <c r="DE15" s="13">
        <v>1.0710785853861315</v>
      </c>
      <c r="DF15" s="13">
        <v>0.2</v>
      </c>
      <c r="DG15" s="13">
        <v>1.1000000000000001</v>
      </c>
      <c r="DH15" s="13">
        <v>0.34590989484506451</v>
      </c>
    </row>
    <row r="16" spans="1:112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  <c r="DE16" s="13">
        <v>0.5157628253940949</v>
      </c>
      <c r="DF16" s="13">
        <v>0.3</v>
      </c>
      <c r="DG16" s="13">
        <v>-0.3</v>
      </c>
      <c r="DH16" s="13">
        <v>-3.6108499160358853E-2</v>
      </c>
    </row>
    <row r="17" spans="1:112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  <c r="DE17" s="13">
        <v>2.0822817454308362</v>
      </c>
      <c r="DF17" s="13">
        <v>0</v>
      </c>
      <c r="DG17" s="13">
        <v>0</v>
      </c>
      <c r="DH17" s="13">
        <v>0.66380821223452902</v>
      </c>
    </row>
    <row r="18" spans="1:112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  <c r="DE18" s="13">
        <v>2.640571991444518</v>
      </c>
      <c r="DF18" s="13">
        <v>0</v>
      </c>
      <c r="DG18" s="13">
        <v>0</v>
      </c>
      <c r="DH18" s="13">
        <v>2.9836110970626883E-2</v>
      </c>
    </row>
    <row r="19" spans="1:112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  <c r="DE19" s="13">
        <v>0.30264474387409201</v>
      </c>
      <c r="DF19" s="13">
        <v>0</v>
      </c>
      <c r="DG19" s="13">
        <v>-0.1</v>
      </c>
      <c r="DH19" s="13">
        <v>0.52770145392320167</v>
      </c>
    </row>
    <row r="20" spans="1:112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  <c r="DE20" s="13">
        <v>-0.37303115384162977</v>
      </c>
      <c r="DF20" s="13">
        <v>0.6</v>
      </c>
      <c r="DG20" s="13">
        <v>-0.6</v>
      </c>
      <c r="DH20" s="13">
        <v>0.15384271728962062</v>
      </c>
    </row>
    <row r="21" spans="1:112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  <c r="DE21" s="13">
        <v>-8.8594335883929176E-3</v>
      </c>
      <c r="DF21" s="13">
        <v>0</v>
      </c>
      <c r="DG21" s="13">
        <v>0</v>
      </c>
      <c r="DH21" s="13">
        <v>1.8326840965077196E-2</v>
      </c>
    </row>
    <row r="22" spans="1:112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  <c r="DE22" s="13">
        <v>0.56265231857464126</v>
      </c>
      <c r="DF22" s="13">
        <v>0</v>
      </c>
      <c r="DG22" s="13">
        <v>0</v>
      </c>
      <c r="DH22" s="13">
        <v>-0.19833106740653195</v>
      </c>
    </row>
    <row r="23" spans="1:112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  <c r="DE23" s="15">
        <v>-0.28324459757891329</v>
      </c>
      <c r="DF23" s="15">
        <v>0.6</v>
      </c>
      <c r="DG23" s="15">
        <v>-0.7</v>
      </c>
      <c r="DH23" s="15">
        <v>0.17143960135510561</v>
      </c>
    </row>
    <row r="24" spans="1:112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  <c r="DE24" s="13">
        <v>-0.37074554579442642</v>
      </c>
      <c r="DF24" s="13">
        <v>1.3</v>
      </c>
      <c r="DG24" s="13">
        <v>-1.4</v>
      </c>
      <c r="DH24" s="13">
        <v>-0.16496102308132254</v>
      </c>
    </row>
    <row r="25" spans="1:112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  <c r="DE25" s="13">
        <v>-0.2257491362266717</v>
      </c>
      <c r="DF25" s="13">
        <v>0</v>
      </c>
      <c r="DG25" s="13">
        <v>0</v>
      </c>
      <c r="DH25" s="13">
        <v>0</v>
      </c>
    </row>
    <row r="26" spans="1:112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</row>
    <row r="27" spans="1:112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4.7170279497401602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V77"/>
  <sheetViews>
    <sheetView topLeftCell="A58" workbookViewId="0">
      <pane xSplit="5" topLeftCell="DR1" activePane="topRight" state="frozen"/>
      <selection pane="topRight" activeCell="DV2" sqref="DV2:DV75"/>
    </sheetView>
  </sheetViews>
  <sheetFormatPr defaultColWidth="8.81640625" defaultRowHeight="15.5"/>
  <cols>
    <col min="1" max="1" width="8.7265625" style="46" customWidth="1"/>
    <col min="2" max="2" width="7.1796875" style="46" customWidth="1"/>
    <col min="3" max="3" width="15.453125" style="68" customWidth="1"/>
    <col min="4" max="4" width="57.26953125" style="46" customWidth="1"/>
    <col min="5" max="5" width="15.54296875" style="110" customWidth="1"/>
    <col min="6" max="6" width="13.1796875" style="61" customWidth="1"/>
    <col min="7" max="7" width="8.453125" style="61" customWidth="1"/>
    <col min="8" max="17" width="8.7265625" style="61" customWidth="1"/>
    <col min="18" max="75" width="8.7265625" style="46" customWidth="1"/>
    <col min="76" max="76" width="9.81640625" style="46" customWidth="1"/>
    <col min="77" max="91" width="8.7265625" style="46" customWidth="1"/>
    <col min="92" max="92" width="13.1796875" style="46" customWidth="1"/>
    <col min="93" max="100" width="8.7265625" style="46" customWidth="1"/>
    <col min="101" max="101" width="8.81640625" style="46"/>
    <col min="102" max="126" width="8.7265625" style="46" customWidth="1"/>
    <col min="127" max="130" width="8.81640625" style="46"/>
    <col min="131" max="132" width="13.453125" style="46" customWidth="1"/>
    <col min="133" max="133" width="64.54296875" style="46" customWidth="1"/>
    <col min="134" max="134" width="15.26953125" style="46" customWidth="1"/>
    <col min="135" max="135" width="14.81640625" style="46" customWidth="1"/>
    <col min="136" max="136" width="17.453125" style="46" customWidth="1"/>
    <col min="137" max="140" width="13.26953125" style="46" customWidth="1"/>
    <col min="141" max="16384" width="8.81640625" style="46"/>
  </cols>
  <sheetData>
    <row r="1" spans="1:126" s="6" customFormat="1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  <c r="DS1" s="20">
        <v>46113</v>
      </c>
      <c r="DT1" s="20">
        <v>46143</v>
      </c>
      <c r="DU1" s="20">
        <v>46174</v>
      </c>
      <c r="DV1" s="20">
        <v>46204</v>
      </c>
    </row>
    <row r="2" spans="1:126" s="26" customFormat="1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  <c r="DS2" s="25">
        <v>127.48156274909961</v>
      </c>
      <c r="DT2" s="25">
        <v>127.91</v>
      </c>
      <c r="DU2" s="25">
        <v>127.91</v>
      </c>
      <c r="DV2" s="25">
        <v>128.92781380517141</v>
      </c>
    </row>
    <row r="3" spans="1:126" s="26" customFormat="1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  <c r="DS3" s="24">
        <v>138.04674301375618</v>
      </c>
      <c r="DT3" s="24">
        <v>138.91</v>
      </c>
      <c r="DU3" s="24">
        <v>138.56</v>
      </c>
      <c r="DV3" s="24">
        <v>140.77617185492198</v>
      </c>
    </row>
    <row r="4" spans="1:126" s="30" customFormat="1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  <c r="DS4" s="33">
        <v>176.38065826824311</v>
      </c>
      <c r="DT4" s="33">
        <v>179.44</v>
      </c>
      <c r="DU4" s="33">
        <v>178.51</v>
      </c>
      <c r="DV4" s="33">
        <v>179.38804934039138</v>
      </c>
    </row>
    <row r="5" spans="1:126" s="35" customFormat="1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  <c r="DS5" s="36">
        <v>140.42072660045145</v>
      </c>
      <c r="DT5" s="36">
        <v>138.49</v>
      </c>
      <c r="DU5" s="36">
        <v>146.30000000000001</v>
      </c>
      <c r="DV5" s="36">
        <v>153.16056337629757</v>
      </c>
    </row>
    <row r="6" spans="1:126" s="35" customFormat="1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  <c r="DS6" s="36">
        <v>127.88930470589121</v>
      </c>
      <c r="DT6" s="36">
        <v>129.25</v>
      </c>
      <c r="DU6" s="36">
        <v>127.72</v>
      </c>
      <c r="DV6" s="36">
        <v>127.53982470616333</v>
      </c>
    </row>
    <row r="7" spans="1:126" s="35" customFormat="1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  <c r="DS7" s="36">
        <v>164.44859645762608</v>
      </c>
      <c r="DT7" s="36">
        <v>165.81</v>
      </c>
      <c r="DU7" s="36">
        <v>165.81</v>
      </c>
      <c r="DV7" s="36">
        <v>176.42780828369413</v>
      </c>
    </row>
    <row r="8" spans="1:126" s="35" customFormat="1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  <c r="DS8" s="36">
        <v>134.29273946073238</v>
      </c>
      <c r="DT8" s="36">
        <v>134.52000000000001</v>
      </c>
      <c r="DU8" s="36">
        <v>134.22999999999999</v>
      </c>
      <c r="DV8" s="36">
        <v>134.50747187431858</v>
      </c>
    </row>
    <row r="9" spans="1:126" s="35" customFormat="1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  <c r="DS9" s="36">
        <v>114.62890740356751</v>
      </c>
      <c r="DT9" s="36">
        <v>114.99</v>
      </c>
      <c r="DU9" s="36">
        <v>111</v>
      </c>
      <c r="DV9" s="36">
        <v>111.76884886643896</v>
      </c>
    </row>
    <row r="10" spans="1:126" s="38" customFormat="1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  <c r="DS10" s="39">
        <v>120.88013510076709</v>
      </c>
      <c r="DT10" s="39">
        <v>120.88</v>
      </c>
      <c r="DU10" s="39">
        <v>121.16</v>
      </c>
      <c r="DV10" s="39">
        <v>122.16522542690328</v>
      </c>
    </row>
    <row r="11" spans="1:126" s="38" customFormat="1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  <c r="DS11" s="39">
        <v>108.8853475015891</v>
      </c>
      <c r="DT11" s="39">
        <v>108.92</v>
      </c>
      <c r="DU11" s="39">
        <v>108.32</v>
      </c>
      <c r="DV11" s="39">
        <v>105.52277048312759</v>
      </c>
    </row>
    <row r="12" spans="1:126" s="38" customFormat="1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  <c r="DS12" s="39">
        <v>174.58448597639656</v>
      </c>
      <c r="DT12" s="39">
        <v>174.58</v>
      </c>
      <c r="DU12" s="39">
        <v>170.52</v>
      </c>
      <c r="DV12" s="39">
        <v>170.51833122117952</v>
      </c>
    </row>
    <row r="13" spans="1:126" s="38" customFormat="1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  <c r="DS13" s="39">
        <v>172.06068058980949</v>
      </c>
      <c r="DT13" s="39">
        <v>173.68</v>
      </c>
      <c r="DU13" s="39">
        <v>173.59</v>
      </c>
      <c r="DV13" s="39">
        <v>174.26120060573385</v>
      </c>
    </row>
    <row r="14" spans="1:126" s="38" customFormat="1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  <c r="DS14" s="39">
        <v>105.68813252763738</v>
      </c>
      <c r="DT14" s="39">
        <v>106.32</v>
      </c>
      <c r="DU14" s="39">
        <v>106.32</v>
      </c>
      <c r="DV14" s="39">
        <v>106.31567044104688</v>
      </c>
    </row>
    <row r="15" spans="1:126" s="42" customFormat="1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  <c r="DS15" s="41">
        <v>97.77786846576636</v>
      </c>
      <c r="DT15" s="41">
        <v>97.78</v>
      </c>
      <c r="DU15" s="41">
        <v>97.78</v>
      </c>
      <c r="DV15" s="41">
        <v>97.77786846576636</v>
      </c>
    </row>
    <row r="16" spans="1:126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  <c r="DS16" s="24">
        <v>113.19409959565864</v>
      </c>
      <c r="DT16" s="24">
        <v>112.77</v>
      </c>
      <c r="DU16" s="24">
        <v>112.74</v>
      </c>
      <c r="DV16" s="24">
        <v>112.73714563148934</v>
      </c>
    </row>
    <row r="17" spans="1:126" s="42" customFormat="1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  <c r="DS17" s="41">
        <v>97.560844059532243</v>
      </c>
      <c r="DT17" s="41">
        <v>96.24</v>
      </c>
      <c r="DU17" s="41">
        <v>96.11</v>
      </c>
      <c r="DV17" s="41">
        <v>96.10601554412699</v>
      </c>
    </row>
    <row r="18" spans="1:126" s="42" customFormat="1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  <c r="DS18" s="47">
        <v>112.18633889599394</v>
      </c>
      <c r="DT18" s="47">
        <v>112.19</v>
      </c>
      <c r="DU18" s="47">
        <v>112.19</v>
      </c>
      <c r="DV18" s="47">
        <v>112.18633889599394</v>
      </c>
    </row>
    <row r="19" spans="1:126" s="42" customFormat="1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  <c r="DS19" s="41">
        <v>124.31333697967604</v>
      </c>
      <c r="DT19" s="41">
        <v>124.19</v>
      </c>
      <c r="DU19" s="41">
        <v>124.19</v>
      </c>
      <c r="DV19" s="41">
        <v>124.18839811081527</v>
      </c>
    </row>
    <row r="20" spans="1:126" s="42" customFormat="1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  <c r="DS20" s="41">
        <v>101.64202404148759</v>
      </c>
      <c r="DT20" s="41">
        <v>101.64</v>
      </c>
      <c r="DU20" s="41">
        <v>101.64</v>
      </c>
      <c r="DV20" s="41">
        <v>101.64202404148759</v>
      </c>
    </row>
    <row r="21" spans="1:126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  <c r="DS21" s="48">
        <v>91.813011018014222</v>
      </c>
      <c r="DT21" s="48">
        <v>92.28</v>
      </c>
      <c r="DU21" s="48">
        <v>91.75</v>
      </c>
      <c r="DV21" s="48">
        <v>91.692495644631876</v>
      </c>
    </row>
    <row r="22" spans="1:126" s="42" customFormat="1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  <c r="DS22" s="41">
        <v>91.813011018014222</v>
      </c>
      <c r="DT22" s="41">
        <v>92.28</v>
      </c>
      <c r="DU22" s="41">
        <v>91.75</v>
      </c>
      <c r="DV22" s="41">
        <v>91.692495644631876</v>
      </c>
    </row>
    <row r="23" spans="1:126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  <c r="DS23" s="24">
        <v>123.47168268488105</v>
      </c>
      <c r="DT23" s="24">
        <v>123.87</v>
      </c>
      <c r="DU23" s="24">
        <v>124.69</v>
      </c>
      <c r="DV23" s="24">
        <v>124.55343911121355</v>
      </c>
    </row>
    <row r="24" spans="1:126" s="43" customFormat="1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  <c r="DS24" s="47">
        <v>118.93090165961672</v>
      </c>
      <c r="DT24" s="47">
        <v>118.93</v>
      </c>
      <c r="DU24" s="47">
        <v>118.93</v>
      </c>
      <c r="DV24" s="47">
        <v>118.93090165961672</v>
      </c>
    </row>
    <row r="25" spans="1:126" s="42" customFormat="1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  <c r="DS25" s="41">
        <v>128.46225099643547</v>
      </c>
      <c r="DT25" s="41">
        <v>129.29</v>
      </c>
      <c r="DU25" s="41">
        <v>131.03</v>
      </c>
      <c r="DV25" s="41">
        <v>130.73291728475829</v>
      </c>
    </row>
    <row r="26" spans="1:126" s="26" customFormat="1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  <c r="DS26" s="50">
        <v>122.71061731450217</v>
      </c>
      <c r="DT26" s="50">
        <v>122.71</v>
      </c>
      <c r="DU26" s="50">
        <v>122.71</v>
      </c>
      <c r="DV26" s="50">
        <v>122.71061731450217</v>
      </c>
    </row>
    <row r="27" spans="1:126" s="42" customFormat="1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  <c r="DS27" s="41">
        <v>122.71061731450217</v>
      </c>
      <c r="DT27" s="41">
        <v>122.71</v>
      </c>
      <c r="DU27" s="41">
        <v>122.71</v>
      </c>
      <c r="DV27" s="41">
        <v>122.71061731450217</v>
      </c>
    </row>
    <row r="28" spans="1:126" s="26" customFormat="1" ht="19.149999999999999" customHeight="1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  <c r="DS28" s="50">
        <v>116.46361225799623</v>
      </c>
      <c r="DT28" s="50">
        <v>118.74</v>
      </c>
      <c r="DU28" s="50">
        <v>124.77</v>
      </c>
      <c r="DV28" s="50">
        <v>128.82654345995491</v>
      </c>
    </row>
    <row r="29" spans="1:126" s="35" customFormat="1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  <c r="DS29" s="36">
        <v>116.46361225799623</v>
      </c>
      <c r="DT29" s="36">
        <v>118.74</v>
      </c>
      <c r="DU29" s="36">
        <v>124.77</v>
      </c>
      <c r="DV29" s="36">
        <v>128.82654345995491</v>
      </c>
    </row>
    <row r="30" spans="1:126" s="55" customFormat="1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  <c r="DS30" s="54">
        <v>103.26910217211778</v>
      </c>
      <c r="DT30" s="54">
        <v>103.36</v>
      </c>
      <c r="DU30" s="54">
        <v>103.26</v>
      </c>
      <c r="DV30" s="54">
        <v>103.24649766598679</v>
      </c>
    </row>
    <row r="31" spans="1:126" s="42" customFormat="1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  <c r="DS31" s="41">
        <v>103.26910217211778</v>
      </c>
      <c r="DT31" s="41">
        <v>103.36</v>
      </c>
      <c r="DU31" s="41">
        <v>103.26</v>
      </c>
      <c r="DV31" s="41">
        <v>103.24649766598679</v>
      </c>
    </row>
    <row r="32" spans="1:126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  <c r="DS32" s="24">
        <v>122.41425545773994</v>
      </c>
      <c r="DT32" s="24">
        <v>122.53</v>
      </c>
      <c r="DU32" s="24">
        <v>122.75</v>
      </c>
      <c r="DV32" s="24">
        <v>122.73800628512771</v>
      </c>
    </row>
    <row r="33" spans="1:126" s="42" customFormat="1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  <c r="DS33" s="41">
        <v>109.68444271813023</v>
      </c>
      <c r="DT33" s="41">
        <v>109.9</v>
      </c>
      <c r="DU33" s="41">
        <v>114.5</v>
      </c>
      <c r="DV33" s="41">
        <v>114.46758496833863</v>
      </c>
    </row>
    <row r="34" spans="1:126" s="42" customFormat="1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  <c r="DS34" s="41">
        <v>131.96328512135523</v>
      </c>
      <c r="DT34" s="41">
        <v>132.16999999999999</v>
      </c>
      <c r="DU34" s="41">
        <v>131.94</v>
      </c>
      <c r="DV34" s="41">
        <v>131.90913026353712</v>
      </c>
    </row>
    <row r="35" spans="1:126" s="43" customFormat="1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  <c r="DS35" s="47">
        <v>115.15735822282876</v>
      </c>
      <c r="DT35" s="47">
        <v>115.16</v>
      </c>
      <c r="DU35" s="47">
        <v>115.16</v>
      </c>
      <c r="DV35" s="47">
        <v>115.15735822282876</v>
      </c>
    </row>
    <row r="36" spans="1:126" s="26" customFormat="1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  <c r="DS36" s="50">
        <v>110.82005671436382</v>
      </c>
      <c r="DT36" s="50">
        <v>110.82</v>
      </c>
      <c r="DU36" s="50">
        <v>111.91</v>
      </c>
      <c r="DV36" s="50">
        <v>112.17609272485244</v>
      </c>
    </row>
    <row r="37" spans="1:126" s="35" customFormat="1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  <c r="DS37" s="36">
        <v>110.82005671436382</v>
      </c>
      <c r="DT37" s="36">
        <v>110.82</v>
      </c>
      <c r="DU37" s="36">
        <v>111.91</v>
      </c>
      <c r="DV37" s="36">
        <v>112.17609272485244</v>
      </c>
    </row>
    <row r="38" spans="1:126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  <c r="DS38" s="24">
        <v>138.78323725949565</v>
      </c>
      <c r="DT38" s="24">
        <v>139.01</v>
      </c>
      <c r="DU38" s="24">
        <v>140.59</v>
      </c>
      <c r="DV38" s="24">
        <v>141.08102103454218</v>
      </c>
    </row>
    <row r="39" spans="1:126" s="43" customFormat="1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  <c r="DS39" s="47">
        <v>116.37572032202166</v>
      </c>
      <c r="DT39" s="47">
        <v>117.4</v>
      </c>
      <c r="DU39" s="47">
        <v>120.97</v>
      </c>
      <c r="DV39" s="47">
        <v>120.96702357063451</v>
      </c>
    </row>
    <row r="40" spans="1:126" s="43" customFormat="1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  <c r="DS40" s="47">
        <v>151.24231552576475</v>
      </c>
      <c r="DT40" s="47">
        <v>151.24</v>
      </c>
      <c r="DU40" s="47">
        <v>151.24</v>
      </c>
      <c r="DV40" s="47">
        <v>152.0512517937313</v>
      </c>
    </row>
    <row r="41" spans="1:126" s="43" customFormat="1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  <c r="DS41" s="47">
        <v>124.35980074182666</v>
      </c>
      <c r="DT41" s="47">
        <v>124.36</v>
      </c>
      <c r="DU41" s="47">
        <v>128.84</v>
      </c>
      <c r="DV41" s="47">
        <v>128.84304538883887</v>
      </c>
    </row>
    <row r="42" spans="1:126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  <c r="DS42" s="48">
        <v>114.19504992650512</v>
      </c>
      <c r="DT42" s="48">
        <v>114.51</v>
      </c>
      <c r="DU42" s="48">
        <v>114.15</v>
      </c>
      <c r="DV42" s="48">
        <v>114.11305201573128</v>
      </c>
    </row>
    <row r="43" spans="1:126" s="42" customFormat="1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  <c r="DS43" s="41">
        <v>114.19504992650512</v>
      </c>
      <c r="DT43" s="41">
        <v>114.51</v>
      </c>
      <c r="DU43" s="41">
        <v>114.15</v>
      </c>
      <c r="DV43" s="41">
        <v>114.11305201573128</v>
      </c>
    </row>
    <row r="44" spans="1:126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  <c r="DS44" s="48">
        <v>109.4588225065495</v>
      </c>
      <c r="DT44" s="48">
        <v>109.48</v>
      </c>
      <c r="DU44" s="48">
        <v>109.49</v>
      </c>
      <c r="DV44" s="48">
        <v>110.2180248173309</v>
      </c>
    </row>
    <row r="45" spans="1:126" s="42" customFormat="1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  <c r="DS45" s="41">
        <v>109.4588225065495</v>
      </c>
      <c r="DT45" s="41">
        <v>109.48</v>
      </c>
      <c r="DU45" s="41">
        <v>109.49</v>
      </c>
      <c r="DV45" s="41">
        <v>110.2180248173309</v>
      </c>
    </row>
    <row r="46" spans="1:126" s="6" customFormat="1" ht="31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  <c r="DS46" s="24">
        <v>108.54740013533451</v>
      </c>
      <c r="DT46" s="24">
        <v>108.55</v>
      </c>
      <c r="DU46" s="24">
        <v>108.54</v>
      </c>
      <c r="DV46" s="24">
        <v>108.57702921402166</v>
      </c>
    </row>
    <row r="47" spans="1:126" s="43" customFormat="1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  <c r="DS47" s="47">
        <v>121.31593275542362</v>
      </c>
      <c r="DT47" s="47">
        <v>121.32</v>
      </c>
      <c r="DU47" s="47">
        <v>121.32</v>
      </c>
      <c r="DV47" s="47">
        <v>122.54583318882382</v>
      </c>
    </row>
    <row r="48" spans="1:126" s="43" customFormat="1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  <c r="DS48" s="47">
        <v>108.2220687303635</v>
      </c>
      <c r="DT48" s="47">
        <v>108.22</v>
      </c>
      <c r="DU48" s="47">
        <v>108.22</v>
      </c>
      <c r="DV48" s="47">
        <v>108.2220687303635</v>
      </c>
    </row>
    <row r="49" spans="1:126" s="43" customFormat="1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  <c r="DS49" s="47">
        <v>106.20409138160069</v>
      </c>
      <c r="DT49" s="47">
        <v>106.2</v>
      </c>
      <c r="DU49" s="47">
        <v>105.84</v>
      </c>
      <c r="DV49" s="47">
        <v>105.89211911395772</v>
      </c>
    </row>
    <row r="50" spans="1:126" s="6" customFormat="1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  <c r="DS50" s="59">
        <v>124.6540872029388</v>
      </c>
      <c r="DT50" s="59">
        <v>124.62</v>
      </c>
      <c r="DU50" s="59">
        <v>124.52</v>
      </c>
      <c r="DV50" s="59">
        <v>125.17856620289706</v>
      </c>
    </row>
    <row r="51" spans="1:126" s="42" customFormat="1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  <c r="DS51" s="41">
        <v>124.6540872029388</v>
      </c>
      <c r="DT51" s="41">
        <v>124.62</v>
      </c>
      <c r="DU51" s="41">
        <v>124.52</v>
      </c>
      <c r="DV51" s="41">
        <v>125.17856620289706</v>
      </c>
    </row>
    <row r="52" spans="1:126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  <c r="DS52" s="59">
        <v>124.35766757412064</v>
      </c>
      <c r="DT52" s="59">
        <v>125.11</v>
      </c>
      <c r="DU52" s="59">
        <v>124.38</v>
      </c>
      <c r="DV52" s="59">
        <v>124.57155856053214</v>
      </c>
    </row>
    <row r="53" spans="1:126" s="42" customFormat="1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  <c r="DS53" s="41">
        <v>124.35766757412064</v>
      </c>
      <c r="DT53" s="41">
        <v>125.11</v>
      </c>
      <c r="DU53" s="41">
        <v>124.38</v>
      </c>
      <c r="DV53" s="41">
        <v>124.57155856053214</v>
      </c>
    </row>
    <row r="54" spans="1:126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  <c r="DS54" s="24">
        <v>117.22966327542005</v>
      </c>
      <c r="DT54" s="24">
        <v>117.27</v>
      </c>
      <c r="DU54" s="24">
        <v>117.23</v>
      </c>
      <c r="DV54" s="24">
        <v>117.246596291568</v>
      </c>
    </row>
    <row r="55" spans="1:126" s="42" customFormat="1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  <c r="DS55" s="41">
        <v>113.87086297665245</v>
      </c>
      <c r="DT55" s="41">
        <v>113.87</v>
      </c>
      <c r="DU55" s="41">
        <v>113.87</v>
      </c>
      <c r="DV55" s="41">
        <v>113.87086297665245</v>
      </c>
    </row>
    <row r="56" spans="1:126" s="42" customFormat="1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  <c r="DS56" s="41">
        <v>119.89069597711693</v>
      </c>
      <c r="DT56" s="41">
        <v>119.95</v>
      </c>
      <c r="DU56" s="41">
        <v>119.88</v>
      </c>
      <c r="DV56" s="41">
        <v>119.92104429209185</v>
      </c>
    </row>
    <row r="57" spans="1:126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  <c r="DS57" s="48">
        <v>133.67659903547948</v>
      </c>
      <c r="DT57" s="48">
        <v>133.68</v>
      </c>
      <c r="DU57" s="48">
        <v>133.68</v>
      </c>
      <c r="DV57" s="48">
        <v>133.41147680973967</v>
      </c>
    </row>
    <row r="58" spans="1:126" s="42" customFormat="1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  <c r="DS58" s="41">
        <v>133.67659903547948</v>
      </c>
      <c r="DT58" s="41">
        <v>133.68</v>
      </c>
      <c r="DU58" s="41">
        <v>133.68</v>
      </c>
      <c r="DV58" s="41">
        <v>133.41147680973967</v>
      </c>
    </row>
    <row r="59" spans="1:126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6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6" s="62" customFormat="1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</row>
    <row r="62" spans="1:126" s="6" customFormat="1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  <c r="DS62" s="5">
        <v>46113</v>
      </c>
      <c r="DT62" s="5">
        <v>46143</v>
      </c>
      <c r="DU62" s="5">
        <v>46174</v>
      </c>
      <c r="DV62" s="5">
        <v>46204</v>
      </c>
    </row>
    <row r="63" spans="1:126" s="26" customFormat="1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  <c r="DS63" s="23">
        <v>116.90360732579101</v>
      </c>
      <c r="DT63" s="23">
        <v>117.62</v>
      </c>
      <c r="DU63" s="23">
        <v>116.81</v>
      </c>
      <c r="DV63" s="23">
        <v>117.0119596637356</v>
      </c>
    </row>
    <row r="64" spans="1:126" s="26" customFormat="1" ht="27" customHeight="1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  <c r="DS64" s="48">
        <v>122.86977274248109</v>
      </c>
      <c r="DT64" s="48">
        <v>124.44</v>
      </c>
      <c r="DU64" s="48">
        <v>122.67</v>
      </c>
      <c r="DV64" s="48">
        <v>122.4669670308264</v>
      </c>
    </row>
    <row r="65" spans="1:126" s="42" customFormat="1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  <c r="DS65" s="41">
        <v>122.86977274248109</v>
      </c>
      <c r="DT65" s="41">
        <v>124.44</v>
      </c>
      <c r="DU65" s="41">
        <v>122.67</v>
      </c>
      <c r="DV65" s="41">
        <v>122.4669670308264</v>
      </c>
    </row>
    <row r="66" spans="1:126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  <c r="DS66" s="48">
        <v>112.6481280529777</v>
      </c>
      <c r="DT66" s="48">
        <v>112.65</v>
      </c>
      <c r="DU66" s="48">
        <v>112.65</v>
      </c>
      <c r="DV66" s="48">
        <v>112.6481280529777</v>
      </c>
    </row>
    <row r="67" spans="1:126" s="42" customFormat="1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  <c r="DS67" s="41">
        <v>112.6481280529777</v>
      </c>
      <c r="DT67" s="41">
        <v>112.65</v>
      </c>
      <c r="DU67" s="41">
        <v>112.65</v>
      </c>
      <c r="DV67" s="41">
        <v>112.6481280529777</v>
      </c>
    </row>
    <row r="68" spans="1:126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  <c r="DS68" s="48">
        <v>99.397305245416177</v>
      </c>
      <c r="DT68" s="48">
        <v>99.4</v>
      </c>
      <c r="DU68" s="48">
        <v>99.4</v>
      </c>
      <c r="DV68" s="48">
        <v>99.397305245416177</v>
      </c>
    </row>
    <row r="69" spans="1:126" s="42" customFormat="1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  <c r="DS69" s="41">
        <v>99.397305245416177</v>
      </c>
      <c r="DT69" s="41">
        <v>99.4</v>
      </c>
      <c r="DU69" s="41">
        <v>99.4</v>
      </c>
      <c r="DV69" s="41">
        <v>99.397305245416177</v>
      </c>
    </row>
    <row r="70" spans="1:126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  <c r="DS70" s="65">
        <v>105.86382498025658</v>
      </c>
      <c r="DT70" s="65">
        <v>105.86</v>
      </c>
      <c r="DU70" s="65">
        <v>105.86</v>
      </c>
      <c r="DV70" s="65">
        <v>110.85745119323929</v>
      </c>
    </row>
    <row r="71" spans="1:126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  <c r="DS71" s="67">
        <v>104.92730028738345</v>
      </c>
      <c r="DT71" s="67">
        <v>104.93</v>
      </c>
      <c r="DU71" s="67">
        <v>104.93</v>
      </c>
      <c r="DV71" s="67">
        <v>108.40188556695894</v>
      </c>
    </row>
    <row r="72" spans="1:126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  <c r="DS72" s="60">
        <v>106.31638900960895</v>
      </c>
      <c r="DT72" s="60">
        <v>106.32</v>
      </c>
      <c r="DU72" s="60">
        <v>106.32</v>
      </c>
      <c r="DV72" s="60">
        <v>112.04407305449455</v>
      </c>
    </row>
    <row r="73" spans="1:126" s="42" customFormat="1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  <c r="DS73" s="41">
        <v>106.31638900960895</v>
      </c>
      <c r="DT73" s="41">
        <v>106.32</v>
      </c>
      <c r="DU73" s="41">
        <v>106.32</v>
      </c>
      <c r="DV73" s="41">
        <v>112.04407305449455</v>
      </c>
    </row>
    <row r="74" spans="1:126" s="42" customFormat="1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  <c r="DS74" s="41">
        <v>104.10541872629467</v>
      </c>
      <c r="DT74" s="41">
        <v>104.11</v>
      </c>
      <c r="DU74" s="41">
        <v>104.11</v>
      </c>
      <c r="DV74" s="41">
        <v>108.08139887879912</v>
      </c>
    </row>
    <row r="75" spans="1:126" s="42" customFormat="1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  <c r="DS75" s="41">
        <v>110.6228064201679</v>
      </c>
      <c r="DT75" s="41">
        <v>110.62</v>
      </c>
      <c r="DU75" s="41">
        <v>110.62</v>
      </c>
      <c r="DV75" s="41">
        <v>110.6228064201679</v>
      </c>
    </row>
    <row r="77" spans="1:126">
      <c r="E77" s="110">
        <v>1000.0000000000002</v>
      </c>
    </row>
  </sheetData>
  <mergeCells count="1">
    <mergeCell ref="A1:C1"/>
  </mergeCells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X80"/>
  <sheetViews>
    <sheetView topLeftCell="C61" workbookViewId="0">
      <pane xSplit="3" topLeftCell="CV1" activePane="topRight" state="frozen"/>
      <selection activeCell="C1" sqref="C1"/>
      <selection pane="topRight" activeCell="CX3" sqref="CX3:CX75"/>
    </sheetView>
  </sheetViews>
  <sheetFormatPr defaultRowHeight="14.5"/>
  <cols>
    <col min="1" max="1" width="9.1796875" style="80"/>
    <col min="3" max="3" width="18.26953125" customWidth="1"/>
    <col min="4" max="4" width="104.54296875" bestFit="1" customWidth="1"/>
    <col min="5" max="5" width="10.453125" style="111" bestFit="1" customWidth="1"/>
  </cols>
  <sheetData>
    <row r="1" spans="1:102" ht="15.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  <c r="CU1" s="5">
        <v>46113</v>
      </c>
      <c r="CV1" s="5">
        <v>46143</v>
      </c>
      <c r="CW1" s="5">
        <v>46174</v>
      </c>
      <c r="CX1" s="5">
        <v>46204</v>
      </c>
    </row>
    <row r="2" spans="1:102" ht="15.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</row>
    <row r="3" spans="1:102" ht="15.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  <c r="CU3" s="70">
        <v>0.74142876099982935</v>
      </c>
      <c r="CV3" s="70">
        <v>0.7</v>
      </c>
      <c r="CW3" s="70">
        <v>0.3</v>
      </c>
      <c r="CX3" s="70">
        <v>1.6607420846144638</v>
      </c>
    </row>
    <row r="4" spans="1:102" ht="15.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  <c r="CU4" s="72">
        <v>1.9430597461737475</v>
      </c>
      <c r="CV4" s="72">
        <v>2.6</v>
      </c>
      <c r="CW4" s="72">
        <v>1.8</v>
      </c>
      <c r="CX4" s="72">
        <v>3.3432749544056728</v>
      </c>
    </row>
    <row r="5" spans="1:102" ht="15.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  <c r="CU5" s="73">
        <v>-0.33983602131049118</v>
      </c>
      <c r="CV5" s="73">
        <v>-4.5</v>
      </c>
      <c r="CW5" s="73">
        <v>1.3</v>
      </c>
      <c r="CX5" s="73">
        <v>6.118649577409041</v>
      </c>
    </row>
    <row r="6" spans="1:102" ht="15.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  <c r="CU6" s="73">
        <v>2.1196844840038143</v>
      </c>
      <c r="CV6" s="73">
        <v>3.6</v>
      </c>
      <c r="CW6" s="73">
        <v>3.5</v>
      </c>
      <c r="CX6" s="73">
        <v>3.801947590153909</v>
      </c>
    </row>
    <row r="7" spans="1:102" ht="15.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  <c r="CU7" s="73">
        <v>-5.1853040973770526E-3</v>
      </c>
      <c r="CV7" s="73">
        <v>0.8</v>
      </c>
      <c r="CW7" s="73">
        <v>0.8</v>
      </c>
      <c r="CX7" s="73">
        <v>6.7416890604584223</v>
      </c>
    </row>
    <row r="8" spans="1:102" ht="15.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  <c r="CU8" s="73">
        <v>-1.5177916749982256</v>
      </c>
      <c r="CV8" s="73">
        <v>-1.6</v>
      </c>
      <c r="CW8" s="73">
        <v>-1.5</v>
      </c>
      <c r="CX8" s="73">
        <v>-1.0800445699098327</v>
      </c>
    </row>
    <row r="9" spans="1:102" ht="15.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  <c r="CU9" s="73">
        <v>7.967513114103153</v>
      </c>
      <c r="CV9" s="73">
        <v>6.7</v>
      </c>
      <c r="CW9" s="73">
        <v>1.4</v>
      </c>
      <c r="CX9" s="73">
        <v>2.7178070940118149</v>
      </c>
    </row>
    <row r="10" spans="1:102" ht="15.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  <c r="CU10" s="74">
        <v>0.59440703820667906</v>
      </c>
      <c r="CV10" s="74">
        <v>0.6</v>
      </c>
      <c r="CW10" s="74">
        <v>0.8</v>
      </c>
      <c r="CX10" s="74">
        <v>1.4629905642381313</v>
      </c>
    </row>
    <row r="11" spans="1:102" ht="15.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  <c r="CU11" s="74">
        <v>-10.448277060231403</v>
      </c>
      <c r="CV11" s="74">
        <v>-11.4</v>
      </c>
      <c r="CW11" s="74">
        <v>-11.5</v>
      </c>
      <c r="CX11" s="74">
        <v>-18.020865196968238</v>
      </c>
    </row>
    <row r="12" spans="1:102" ht="15.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  <c r="CU12" s="74">
        <v>-4.5558574387615902</v>
      </c>
      <c r="CV12" s="74">
        <v>3.3</v>
      </c>
      <c r="CW12" s="74">
        <v>0</v>
      </c>
      <c r="CX12" s="74">
        <v>-3.9406762716365229E-2</v>
      </c>
    </row>
    <row r="13" spans="1:102" ht="15.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  <c r="CU13" s="74">
        <v>1.9566923213330867</v>
      </c>
      <c r="CV13" s="74">
        <v>2.6</v>
      </c>
      <c r="CW13" s="74">
        <v>2.6</v>
      </c>
      <c r="CX13" s="74">
        <v>3.3233157848162609</v>
      </c>
    </row>
    <row r="14" spans="1:102" ht="15.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  <c r="CU14" s="74">
        <v>-2.4365994092153453</v>
      </c>
      <c r="CV14" s="74">
        <v>1.2</v>
      </c>
      <c r="CW14" s="74">
        <v>1.2</v>
      </c>
      <c r="CX14" s="74">
        <v>0.32610390548108992</v>
      </c>
    </row>
    <row r="15" spans="1:102" ht="15.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  <c r="CU15" s="75">
        <v>2.3558462589538198</v>
      </c>
      <c r="CV15" s="75">
        <v>2.4</v>
      </c>
      <c r="CW15" s="75">
        <v>2.4</v>
      </c>
      <c r="CX15" s="75">
        <v>2.3558462589538198</v>
      </c>
    </row>
    <row r="16" spans="1:102" ht="15.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  <c r="CU16" s="70">
        <v>-0.15758338003468708</v>
      </c>
      <c r="CV16" s="70">
        <v>-0.5</v>
      </c>
      <c r="CW16" s="70">
        <v>-0.6</v>
      </c>
      <c r="CX16" s="70">
        <v>-0.56063785221749374</v>
      </c>
    </row>
    <row r="17" spans="1:102" ht="15.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  <c r="CU17" s="75">
        <v>-0.6824796012602441</v>
      </c>
      <c r="CV17" s="75">
        <v>-2</v>
      </c>
      <c r="CW17" s="75">
        <v>-2.2000000000000002</v>
      </c>
      <c r="CX17" s="75">
        <v>-2.1635036960011789</v>
      </c>
    </row>
    <row r="18" spans="1:102" ht="15.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  <c r="CU18" s="76">
        <v>0</v>
      </c>
      <c r="CV18" s="76">
        <v>0</v>
      </c>
      <c r="CW18" s="76">
        <v>0</v>
      </c>
      <c r="CX18" s="76">
        <v>0</v>
      </c>
    </row>
    <row r="19" spans="1:102" ht="15.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  <c r="CU19" s="75">
        <v>0</v>
      </c>
      <c r="CV19" s="75">
        <v>-0.1</v>
      </c>
      <c r="CW19" s="75">
        <v>-0.1</v>
      </c>
      <c r="CX19" s="75">
        <v>-0.10050318967882443</v>
      </c>
    </row>
    <row r="20" spans="1:102" ht="15.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  <c r="CU20" s="75">
        <v>0</v>
      </c>
      <c r="CV20" s="75">
        <v>0</v>
      </c>
      <c r="CW20" s="75">
        <v>0</v>
      </c>
      <c r="CX20" s="75">
        <v>0</v>
      </c>
    </row>
    <row r="21" spans="1:102" ht="15.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  <c r="CU21" s="90">
        <v>-0.95416913684732707</v>
      </c>
      <c r="CV21" s="90">
        <v>-0.3</v>
      </c>
      <c r="CW21" s="90">
        <v>-0.4</v>
      </c>
      <c r="CX21" s="90">
        <v>-0.3265382968974162</v>
      </c>
    </row>
    <row r="22" spans="1:102" ht="15.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  <c r="CU22" s="75">
        <v>-0.95416913684732707</v>
      </c>
      <c r="CV22" s="75">
        <v>-0.3</v>
      </c>
      <c r="CW22" s="75">
        <v>-0.4</v>
      </c>
      <c r="CX22" s="75">
        <v>-0.3265382968974162</v>
      </c>
    </row>
    <row r="23" spans="1:102" ht="15.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  <c r="CU23" s="70">
        <v>-0.44120785539596419</v>
      </c>
      <c r="CV23" s="70">
        <v>0.5</v>
      </c>
      <c r="CW23" s="70">
        <v>1.2</v>
      </c>
      <c r="CX23" s="70">
        <v>1.0439337408448379</v>
      </c>
    </row>
    <row r="24" spans="1:102" ht="15.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  <c r="CU24" s="76">
        <v>0</v>
      </c>
      <c r="CV24" s="76">
        <v>0</v>
      </c>
      <c r="CW24" s="76">
        <v>0</v>
      </c>
      <c r="CX24" s="76">
        <v>0</v>
      </c>
    </row>
    <row r="25" spans="1:102" ht="15.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  <c r="CU25" s="75">
        <v>-0.88616292083191217</v>
      </c>
      <c r="CV25" s="75">
        <v>1</v>
      </c>
      <c r="CW25" s="75">
        <v>2.2999999999999998</v>
      </c>
      <c r="CX25" s="75">
        <v>2.1097177873203865</v>
      </c>
    </row>
    <row r="26" spans="1:102" ht="15.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  <c r="CU26" s="91">
        <v>-0.15144675802012397</v>
      </c>
      <c r="CV26" s="91">
        <v>-0.2</v>
      </c>
      <c r="CW26" s="91">
        <v>-0.3</v>
      </c>
      <c r="CX26" s="91">
        <v>-0.15144675802013507</v>
      </c>
    </row>
    <row r="27" spans="1:102" ht="15.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  <c r="CU27" s="75">
        <v>-0.15144675802012397</v>
      </c>
      <c r="CV27" s="75">
        <v>-0.2</v>
      </c>
      <c r="CW27" s="75">
        <v>-0.3</v>
      </c>
      <c r="CX27" s="75">
        <v>-0.15144675802013507</v>
      </c>
    </row>
    <row r="28" spans="1:102" ht="15.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  <c r="CU28" s="91">
        <v>5.9376462209306924</v>
      </c>
      <c r="CV28" s="91">
        <v>8</v>
      </c>
      <c r="CW28" s="91">
        <v>13.5</v>
      </c>
      <c r="CX28" s="91">
        <v>17.183217318497945</v>
      </c>
    </row>
    <row r="29" spans="1:102" ht="15.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  <c r="CU29" s="73">
        <v>5.9376462209306924</v>
      </c>
      <c r="CV29" s="73">
        <v>8</v>
      </c>
      <c r="CW29" s="73">
        <v>13.5</v>
      </c>
      <c r="CX29" s="73">
        <v>17.183217318497945</v>
      </c>
    </row>
    <row r="30" spans="1:102" ht="15.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  <c r="CU30" s="92">
        <v>6.5033607251533621</v>
      </c>
      <c r="CV30" s="92">
        <v>7.1</v>
      </c>
      <c r="CW30" s="92">
        <v>7.1</v>
      </c>
      <c r="CX30" s="92">
        <v>7.0959211352593199</v>
      </c>
    </row>
    <row r="31" spans="1:102" ht="15.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  <c r="CU31" s="75">
        <v>6.5033607251533621</v>
      </c>
      <c r="CV31" s="75">
        <v>7.1</v>
      </c>
      <c r="CW31" s="75">
        <v>7.1</v>
      </c>
      <c r="CX31" s="75">
        <v>7.0959211352593199</v>
      </c>
    </row>
    <row r="32" spans="1:102" ht="15.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  <c r="CU32" s="70">
        <v>9.1988124742847788E-2</v>
      </c>
      <c r="CV32" s="70">
        <v>0.9</v>
      </c>
      <c r="CW32" s="70">
        <v>1.2</v>
      </c>
      <c r="CX32" s="70">
        <v>0.83534230181792068</v>
      </c>
    </row>
    <row r="33" spans="1:102" ht="15.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  <c r="CU33" s="75">
        <v>-1.5303923896811011</v>
      </c>
      <c r="CV33" s="75">
        <v>0.4</v>
      </c>
      <c r="CW33" s="75">
        <v>4.8</v>
      </c>
      <c r="CX33" s="75">
        <v>4.7994248837185172</v>
      </c>
    </row>
    <row r="34" spans="1:102" ht="15.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  <c r="CU34" s="75">
        <v>0.15950231633727885</v>
      </c>
      <c r="CV34" s="75">
        <v>0.4</v>
      </c>
      <c r="CW34" s="75">
        <v>0.4</v>
      </c>
      <c r="CX34" s="75">
        <v>0.40528276620195314</v>
      </c>
    </row>
    <row r="35" spans="1:102" ht="15.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  <c r="CU35" s="76">
        <v>0.26019565147752388</v>
      </c>
      <c r="CV35" s="76">
        <v>1.7</v>
      </c>
      <c r="CW35" s="76">
        <v>1.7</v>
      </c>
      <c r="CX35" s="76">
        <v>0.72772998598020777</v>
      </c>
    </row>
    <row r="36" spans="1:102" ht="15.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  <c r="CU36" s="91">
        <v>1.7891881482527072</v>
      </c>
      <c r="CV36" s="91">
        <v>1.8</v>
      </c>
      <c r="CW36" s="91">
        <v>2.8</v>
      </c>
      <c r="CX36" s="91">
        <v>3.0347190449134365</v>
      </c>
    </row>
    <row r="37" spans="1:102" ht="15.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  <c r="CU37" s="73">
        <v>1.7891881482527072</v>
      </c>
      <c r="CV37" s="73">
        <v>1.8</v>
      </c>
      <c r="CW37" s="73">
        <v>2.8</v>
      </c>
      <c r="CX37" s="73">
        <v>3.0347190449134365</v>
      </c>
    </row>
    <row r="38" spans="1:102" ht="15.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  <c r="CU38" s="70">
        <v>0.41294751586091749</v>
      </c>
      <c r="CV38" s="70">
        <v>0.6</v>
      </c>
      <c r="CW38" s="70">
        <v>2.2999999999999998</v>
      </c>
      <c r="CX38" s="70">
        <v>3.2211013195775351</v>
      </c>
    </row>
    <row r="39" spans="1:102" ht="15.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  <c r="CU39" s="76">
        <v>1.1056469155066306</v>
      </c>
      <c r="CV39" s="76">
        <v>2</v>
      </c>
      <c r="CW39" s="76">
        <v>5.0999999999999996</v>
      </c>
      <c r="CX39" s="76">
        <v>5.0945088864724708</v>
      </c>
    </row>
    <row r="40" spans="1:102" ht="15.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  <c r="CU40" s="76">
        <v>0.32402070496204693</v>
      </c>
      <c r="CV40" s="76">
        <v>0.3</v>
      </c>
      <c r="CW40" s="76">
        <v>1.2</v>
      </c>
      <c r="CX40" s="76">
        <v>2.5971404039104362</v>
      </c>
    </row>
    <row r="41" spans="1:102" ht="15.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  <c r="CU41" s="76">
        <v>0</v>
      </c>
      <c r="CV41" s="76">
        <v>0</v>
      </c>
      <c r="CW41" s="76">
        <v>3.6</v>
      </c>
      <c r="CX41" s="76">
        <v>3.6050593682757093</v>
      </c>
    </row>
    <row r="42" spans="1:102" ht="15.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  <c r="CU42" s="90">
        <v>1.592807614935654</v>
      </c>
      <c r="CV42" s="90">
        <v>2</v>
      </c>
      <c r="CW42" s="90">
        <v>1.9</v>
      </c>
      <c r="CX42" s="90">
        <v>2.0294798354065113</v>
      </c>
    </row>
    <row r="43" spans="1:102" ht="15.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  <c r="CU43" s="75">
        <v>1.592807614935654</v>
      </c>
      <c r="CV43" s="75">
        <v>2</v>
      </c>
      <c r="CW43" s="75">
        <v>1.9</v>
      </c>
      <c r="CX43" s="75">
        <v>2.0294798354065113</v>
      </c>
    </row>
    <row r="44" spans="1:102" ht="15.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  <c r="CU44" s="90">
        <v>1.7787109563449643</v>
      </c>
      <c r="CV44" s="90">
        <v>2.1</v>
      </c>
      <c r="CW44" s="90">
        <v>2.1</v>
      </c>
      <c r="CX44" s="90">
        <v>2.7973088434593008</v>
      </c>
    </row>
    <row r="45" spans="1:102" ht="15.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  <c r="CU45" s="75">
        <v>1.7787109563449643</v>
      </c>
      <c r="CV45" s="75">
        <v>2.1</v>
      </c>
      <c r="CW45" s="75">
        <v>2.1</v>
      </c>
      <c r="CX45" s="75">
        <v>2.7973088434593008</v>
      </c>
    </row>
    <row r="46" spans="1:102" ht="15.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  <c r="CU46" s="70">
        <v>3.6664603421076691</v>
      </c>
      <c r="CV46" s="70">
        <v>3.7</v>
      </c>
      <c r="CW46" s="70">
        <v>3.7</v>
      </c>
      <c r="CX46" s="70">
        <v>4.704899951746544</v>
      </c>
    </row>
    <row r="47" spans="1:102" ht="15.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  <c r="CU47" s="76">
        <v>0.17673583996922204</v>
      </c>
      <c r="CV47" s="76">
        <v>0.2</v>
      </c>
      <c r="CW47" s="76">
        <v>0.2</v>
      </c>
      <c r="CX47" s="76">
        <v>1.1923271809234803</v>
      </c>
    </row>
    <row r="48" spans="1:102" ht="15.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  <c r="CU48" s="76">
        <v>3.78580724003581</v>
      </c>
      <c r="CV48" s="76">
        <v>3.8</v>
      </c>
      <c r="CW48" s="76">
        <v>3.8</v>
      </c>
      <c r="CX48" s="76">
        <v>4.8367476032922241</v>
      </c>
    </row>
    <row r="49" spans="1:102" ht="15.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  <c r="CU49" s="76">
        <v>2.3559166248405594</v>
      </c>
      <c r="CV49" s="76">
        <v>2.4</v>
      </c>
      <c r="CW49" s="76">
        <v>2</v>
      </c>
      <c r="CX49" s="76">
        <v>2.0552482889909518</v>
      </c>
    </row>
    <row r="50" spans="1:102" ht="15.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  <c r="CU50" s="93">
        <v>-0.77968019494047969</v>
      </c>
      <c r="CV50" s="93">
        <v>-0.7</v>
      </c>
      <c r="CW50" s="93">
        <v>-0.7</v>
      </c>
      <c r="CX50" s="93">
        <v>0.28327240765120276</v>
      </c>
    </row>
    <row r="51" spans="1:102" ht="15.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  <c r="CU51" s="75">
        <v>-0.77968019494047969</v>
      </c>
      <c r="CV51" s="75">
        <v>-0.7</v>
      </c>
      <c r="CW51" s="75">
        <v>-0.7</v>
      </c>
      <c r="CX51" s="75">
        <v>0.28327240765120276</v>
      </c>
    </row>
    <row r="52" spans="1:102" ht="15.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  <c r="CU52" s="93">
        <v>0.43658870311056308</v>
      </c>
      <c r="CV52" s="93">
        <v>1.3</v>
      </c>
      <c r="CW52" s="93">
        <v>1.3</v>
      </c>
      <c r="CX52" s="93">
        <v>1.6862336679479784</v>
      </c>
    </row>
    <row r="53" spans="1:102" ht="15.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  <c r="CU53" s="75">
        <v>0.43658870311056308</v>
      </c>
      <c r="CV53" s="75">
        <v>1.3</v>
      </c>
      <c r="CW53" s="75">
        <v>1.3</v>
      </c>
      <c r="CX53" s="75">
        <v>1.6862336679479784</v>
      </c>
    </row>
    <row r="54" spans="1:102" ht="15.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  <c r="CU54" s="70">
        <v>4.1745095058212334</v>
      </c>
      <c r="CV54" s="70">
        <v>4.2</v>
      </c>
      <c r="CW54" s="70">
        <v>4.2</v>
      </c>
      <c r="CX54" s="70">
        <v>4.2444832992251103</v>
      </c>
    </row>
    <row r="55" spans="1:102" ht="15.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  <c r="CU55" s="75">
        <v>0</v>
      </c>
      <c r="CV55" s="75">
        <v>0</v>
      </c>
      <c r="CW55" s="75">
        <v>0</v>
      </c>
      <c r="CX55" s="75">
        <v>0</v>
      </c>
    </row>
    <row r="56" spans="1:102" ht="15.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  <c r="CU56" s="75">
        <v>7.5529874785456697</v>
      </c>
      <c r="CV56" s="75">
        <v>7.6</v>
      </c>
      <c r="CW56" s="75">
        <v>7.6</v>
      </c>
      <c r="CX56" s="75">
        <v>7.6828697668573254</v>
      </c>
    </row>
    <row r="57" spans="1:102" ht="15.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  <c r="CU57" s="90">
        <v>0.66688198002968768</v>
      </c>
      <c r="CV57" s="90">
        <v>0.8</v>
      </c>
      <c r="CW57" s="90">
        <v>0.8</v>
      </c>
      <c r="CX57" s="90">
        <v>1.0265071171272844</v>
      </c>
    </row>
    <row r="58" spans="1:102" ht="15.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  <c r="CU58" s="75">
        <v>0.66688198002968768</v>
      </c>
      <c r="CV58" s="75">
        <v>0.8</v>
      </c>
      <c r="CW58" s="75">
        <v>0.8</v>
      </c>
      <c r="CX58" s="75">
        <v>1.0265071171272844</v>
      </c>
    </row>
    <row r="59" spans="1:102" ht="15.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</row>
    <row r="60" spans="1:102" ht="15.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</row>
    <row r="61" spans="1:102" ht="15.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94"/>
      <c r="CW61" s="94"/>
      <c r="CX61" s="94"/>
    </row>
    <row r="62" spans="1:102" ht="15.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  <c r="CU62" s="5">
        <v>46113</v>
      </c>
      <c r="CV62" s="5">
        <v>46143</v>
      </c>
      <c r="CW62" s="5">
        <v>46174</v>
      </c>
      <c r="CX62" s="5">
        <v>46204</v>
      </c>
    </row>
    <row r="63" spans="1:102" ht="15.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</row>
    <row r="64" spans="1:102" ht="15.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  <c r="CU64" s="90">
        <v>1.2831647771815113</v>
      </c>
      <c r="CV64" s="90">
        <v>3</v>
      </c>
      <c r="CW64" s="90">
        <v>2.9</v>
      </c>
      <c r="CX64" s="90">
        <v>3.2886279665137463</v>
      </c>
    </row>
    <row r="65" spans="1:102" ht="15.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  <c r="CU65" s="75">
        <v>1.2831647771815113</v>
      </c>
      <c r="CV65" s="75">
        <v>3</v>
      </c>
      <c r="CW65" s="75">
        <v>2.9</v>
      </c>
      <c r="CX65" s="75">
        <v>3.2886279665137463</v>
      </c>
    </row>
    <row r="66" spans="1:102" ht="15.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  <c r="CU66" s="90">
        <v>0.21817025992703076</v>
      </c>
      <c r="CV66" s="90">
        <v>0.2</v>
      </c>
      <c r="CW66" s="90">
        <v>0.2</v>
      </c>
      <c r="CX66" s="90">
        <v>0.21817025992703076</v>
      </c>
    </row>
    <row r="67" spans="1:102" ht="15.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  <c r="CU67" s="75">
        <v>0.21817025992703076</v>
      </c>
      <c r="CV67" s="75">
        <v>0.2</v>
      </c>
      <c r="CW67" s="75">
        <v>0.2</v>
      </c>
      <c r="CX67" s="75">
        <v>0.21817025992703076</v>
      </c>
    </row>
    <row r="68" spans="1:102" ht="15.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  <c r="CV68" s="90">
        <v>0</v>
      </c>
      <c r="CW68" s="90">
        <v>0</v>
      </c>
      <c r="CX68" s="90">
        <v>0</v>
      </c>
    </row>
    <row r="69" spans="1:102" ht="15.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  <c r="CV69" s="75">
        <v>0</v>
      </c>
      <c r="CW69" s="75">
        <v>0</v>
      </c>
      <c r="CX69" s="75">
        <v>0</v>
      </c>
    </row>
    <row r="70" spans="1:102" ht="15.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  <c r="CU70" s="95">
        <v>5.8579753078545238</v>
      </c>
      <c r="CV70" s="95">
        <v>4.5999999999999996</v>
      </c>
      <c r="CW70" s="95">
        <v>4.5999999999999996</v>
      </c>
      <c r="CX70" s="95">
        <v>4.7170279497401602</v>
      </c>
    </row>
    <row r="71" spans="1:102" ht="15.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  <c r="CU71" s="96">
        <v>3.6174076522963894</v>
      </c>
      <c r="CV71" s="96">
        <v>0</v>
      </c>
      <c r="CW71" s="96">
        <v>0</v>
      </c>
      <c r="CX71" s="96">
        <v>3.3114215938645275</v>
      </c>
    </row>
    <row r="72" spans="1:102" ht="15.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  <c r="CU72" s="97">
        <v>6.9610375725068785</v>
      </c>
      <c r="CV72" s="97">
        <v>7</v>
      </c>
      <c r="CW72" s="97">
        <v>7</v>
      </c>
      <c r="CX72" s="97">
        <v>5.387395206178347</v>
      </c>
    </row>
    <row r="73" spans="1:102" ht="15.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  <c r="CU73" s="75">
        <v>6.9610375725068785</v>
      </c>
      <c r="CV73" s="75">
        <v>7</v>
      </c>
      <c r="CW73" s="75">
        <v>7</v>
      </c>
      <c r="CX73" s="75">
        <v>5.387395206178347</v>
      </c>
    </row>
    <row r="74" spans="1:102" ht="15.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  <c r="CU74" s="75">
        <v>4.195362743720854</v>
      </c>
      <c r="CV74" s="75">
        <v>0</v>
      </c>
      <c r="CW74" s="75">
        <v>0</v>
      </c>
      <c r="CX74" s="75">
        <v>3.8191865525825985</v>
      </c>
    </row>
    <row r="75" spans="1:102" ht="15.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  <c r="CW75" s="75">
        <v>0</v>
      </c>
      <c r="CX75" s="75">
        <v>0</v>
      </c>
    </row>
    <row r="76" spans="1:102" ht="15.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</row>
    <row r="77" spans="1:102" ht="15.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</row>
    <row r="78" spans="1:102" ht="15.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</row>
    <row r="79" spans="1:102" ht="15.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</row>
    <row r="80" spans="1:102" ht="15.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X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J80"/>
  <sheetViews>
    <sheetView tabSelected="1" workbookViewId="0">
      <pane xSplit="5" topLeftCell="DI1" activePane="topRight" state="frozen"/>
      <selection pane="topRight" activeCell="DJ3" sqref="DJ3:DJ75"/>
    </sheetView>
  </sheetViews>
  <sheetFormatPr defaultRowHeight="14.5"/>
  <cols>
    <col min="1" max="2" width="9.1796875" style="80"/>
    <col min="3" max="3" width="10.81640625" style="80" customWidth="1"/>
    <col min="4" max="4" width="99.1796875" bestFit="1" customWidth="1"/>
    <col min="5" max="5" width="10.453125" bestFit="1" customWidth="1"/>
  </cols>
  <sheetData>
    <row r="1" spans="1:114" ht="15.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5">
        <v>46113</v>
      </c>
      <c r="DH1" s="5">
        <v>46143</v>
      </c>
      <c r="DI1" s="5">
        <v>46174</v>
      </c>
      <c r="DJ1" s="5">
        <v>46204</v>
      </c>
    </row>
    <row r="2" spans="1:114" ht="15.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ht="15.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70">
        <v>-0.35426174939786614</v>
      </c>
      <c r="DH3" s="70">
        <v>0.6</v>
      </c>
      <c r="DI3" s="70">
        <v>-0.3</v>
      </c>
      <c r="DJ3" s="70">
        <v>1.601537356829108</v>
      </c>
    </row>
    <row r="4" spans="1:114" ht="15.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  <c r="DG4" s="13">
        <v>-0.73596984451144154</v>
      </c>
      <c r="DH4" s="13">
        <v>1.7</v>
      </c>
      <c r="DI4" s="13">
        <v>-0.5</v>
      </c>
      <c r="DJ4" s="13">
        <v>0.4899865032253814</v>
      </c>
    </row>
    <row r="5" spans="1:114" ht="15.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  <c r="DG5" s="13">
        <v>-3.5154509801615941</v>
      </c>
      <c r="DH5" s="13">
        <v>-1.4</v>
      </c>
      <c r="DI5" s="13">
        <v>5.6</v>
      </c>
      <c r="DJ5" s="13">
        <v>4.6870918044664922</v>
      </c>
    </row>
    <row r="6" spans="1:114" ht="15.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  <c r="DG6" s="13">
        <v>0.37152627077940981</v>
      </c>
      <c r="DH6" s="13">
        <v>1.1000000000000001</v>
      </c>
      <c r="DI6" s="13">
        <v>-1.2</v>
      </c>
      <c r="DJ6" s="13">
        <v>-0.1374864286870392</v>
      </c>
    </row>
    <row r="7" spans="1:114" ht="15.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  <c r="DG7" s="13">
        <v>1.6606416694559867</v>
      </c>
      <c r="DH7" s="13">
        <v>0.8</v>
      </c>
      <c r="DI7" s="13">
        <v>0</v>
      </c>
      <c r="DJ7" s="13">
        <v>6.4024526401658788</v>
      </c>
    </row>
    <row r="8" spans="1:114" ht="15.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  <c r="DG8" s="13">
        <v>-0.15498271707361511</v>
      </c>
      <c r="DH8" s="13">
        <v>0.2</v>
      </c>
      <c r="DI8" s="13">
        <v>-0.2</v>
      </c>
      <c r="DJ8" s="13">
        <v>0.2103656015442823</v>
      </c>
    </row>
    <row r="9" spans="1:114" ht="15.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  <c r="DG9" s="13">
        <v>0.79334077834376515</v>
      </c>
      <c r="DH9" s="13">
        <v>0.3</v>
      </c>
      <c r="DI9" s="13">
        <v>-3.5</v>
      </c>
      <c r="DJ9" s="13">
        <v>0.69562457145473378</v>
      </c>
    </row>
    <row r="10" spans="1:114" ht="15.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  <c r="DG10" s="13">
        <v>0</v>
      </c>
      <c r="DH10" s="13">
        <v>0</v>
      </c>
      <c r="DI10" s="13">
        <v>0.2</v>
      </c>
      <c r="DJ10" s="13">
        <v>0.83300959538978869</v>
      </c>
    </row>
    <row r="11" spans="1:114" ht="15.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  <c r="DG11" s="13">
        <v>-3.2246517994689805</v>
      </c>
      <c r="DH11" s="13">
        <v>0</v>
      </c>
      <c r="DI11" s="13">
        <v>-0.5</v>
      </c>
      <c r="DJ11" s="13">
        <v>-2.5808251375230129</v>
      </c>
    </row>
    <row r="12" spans="1:114" ht="15.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  <c r="DG12" s="13">
        <v>0</v>
      </c>
      <c r="DH12" s="13">
        <v>0</v>
      </c>
      <c r="DI12" s="13">
        <v>-2.2999999999999998</v>
      </c>
      <c r="DJ12" s="13">
        <v>-1.9878793611205481E-6</v>
      </c>
    </row>
    <row r="13" spans="1:114" ht="15.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  <c r="DG13" s="13">
        <v>1.6393966357883816</v>
      </c>
      <c r="DH13" s="13">
        <v>0.9</v>
      </c>
      <c r="DI13" s="13">
        <v>0</v>
      </c>
      <c r="DJ13" s="13">
        <v>0.38410571143812078</v>
      </c>
    </row>
    <row r="14" spans="1:114" ht="15.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  <c r="DG14" s="13">
        <v>0.47213407085242576</v>
      </c>
      <c r="DH14" s="13">
        <v>0.6</v>
      </c>
      <c r="DI14" s="13">
        <v>0</v>
      </c>
      <c r="DJ14" s="13">
        <v>0</v>
      </c>
    </row>
    <row r="15" spans="1:114" ht="15.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</row>
    <row r="16" spans="1:114" ht="15.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70">
        <v>0</v>
      </c>
      <c r="DH16" s="70">
        <v>-0.4</v>
      </c>
      <c r="DI16" s="70">
        <v>0</v>
      </c>
      <c r="DJ16" s="70">
        <v>0</v>
      </c>
    </row>
    <row r="17" spans="1:114" ht="15.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  <c r="DG17" s="13">
        <v>0</v>
      </c>
      <c r="DH17" s="13">
        <v>-1.4</v>
      </c>
      <c r="DI17" s="13">
        <v>-0.1</v>
      </c>
      <c r="DJ17" s="13">
        <v>0</v>
      </c>
    </row>
    <row r="18" spans="1:114" ht="15.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</row>
    <row r="19" spans="1:114" ht="15.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-0.1</v>
      </c>
      <c r="DI19" s="13">
        <v>0</v>
      </c>
      <c r="DJ19" s="13">
        <v>0</v>
      </c>
    </row>
    <row r="20" spans="1:114" ht="15.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</row>
    <row r="21" spans="1:114" ht="15.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70">
        <v>-0.14846348796030417</v>
      </c>
      <c r="DH21" s="70">
        <v>0.5</v>
      </c>
      <c r="DI21" s="70">
        <v>-0.6</v>
      </c>
      <c r="DJ21" s="70">
        <v>-6.6017092559556012E-2</v>
      </c>
    </row>
    <row r="22" spans="1:114" ht="15.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  <c r="DG22" s="13">
        <v>-0.14846348796030417</v>
      </c>
      <c r="DH22" s="13">
        <v>0.5</v>
      </c>
      <c r="DI22" s="13">
        <v>-0.6</v>
      </c>
      <c r="DJ22" s="13">
        <v>-6.6017092559556012E-2</v>
      </c>
    </row>
    <row r="23" spans="1:114" ht="15.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70">
        <v>0.10662962101810614</v>
      </c>
      <c r="DH23" s="70">
        <v>0.3</v>
      </c>
      <c r="DI23" s="70">
        <v>0.7</v>
      </c>
      <c r="DJ23" s="70">
        <v>-0.11190790159791852</v>
      </c>
    </row>
    <row r="24" spans="1:114" ht="15.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</row>
    <row r="25" spans="1:114" ht="15.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  <c r="DG25" s="13">
        <v>0.21535997096830961</v>
      </c>
      <c r="DH25" s="13">
        <v>0.6</v>
      </c>
      <c r="DI25" s="13">
        <v>1.3</v>
      </c>
      <c r="DJ25" s="13">
        <v>-0.22354743583836711</v>
      </c>
    </row>
    <row r="26" spans="1:114" ht="15.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70">
        <v>0</v>
      </c>
      <c r="DH26" s="70">
        <v>0</v>
      </c>
      <c r="DI26" s="70">
        <v>0</v>
      </c>
      <c r="DJ26" s="70">
        <v>0</v>
      </c>
    </row>
    <row r="27" spans="1:114" ht="15.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</row>
    <row r="28" spans="1:114" ht="15.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5.9376462209306924</v>
      </c>
      <c r="DH28" s="70">
        <v>2</v>
      </c>
      <c r="DI28" s="70">
        <v>5.0999999999999996</v>
      </c>
      <c r="DJ28" s="70">
        <v>3.24810319761204</v>
      </c>
    </row>
    <row r="29" spans="1:114" ht="15.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5.9376462209306924</v>
      </c>
      <c r="DH29" s="13">
        <v>2</v>
      </c>
      <c r="DI29" s="13">
        <v>5.0999999999999996</v>
      </c>
      <c r="DJ29" s="13">
        <v>3.24810319761204</v>
      </c>
    </row>
    <row r="30" spans="1:114" ht="15.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70">
        <v>-3.1397194357044467</v>
      </c>
      <c r="DH30" s="70">
        <v>0.1</v>
      </c>
      <c r="DI30" s="70">
        <v>-0.1</v>
      </c>
      <c r="DJ30" s="70">
        <v>-1.1005876548553228E-2</v>
      </c>
    </row>
    <row r="31" spans="1:114" ht="15.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  <c r="DG31" s="13">
        <v>-3.1397194357044467</v>
      </c>
      <c r="DH31" s="13">
        <v>0.1</v>
      </c>
      <c r="DI31" s="13">
        <v>-0.1</v>
      </c>
      <c r="DJ31" s="13">
        <v>-1.1005876548553228E-2</v>
      </c>
    </row>
    <row r="32" spans="1:114" ht="15.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70">
        <v>-2.6528641311274193E-2</v>
      </c>
      <c r="DH32" s="70">
        <v>0.1</v>
      </c>
      <c r="DI32" s="70">
        <v>0.2</v>
      </c>
      <c r="DJ32" s="70">
        <v>-1.1828610305542053E-2</v>
      </c>
    </row>
    <row r="33" spans="1:114" ht="15.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  <c r="DG33" s="13">
        <v>-5.7127446901528156E-2</v>
      </c>
      <c r="DH33" s="13">
        <v>0.2</v>
      </c>
      <c r="DI33" s="13">
        <v>4.2</v>
      </c>
      <c r="DJ33" s="13">
        <v>-2.5396348980233352E-2</v>
      </c>
    </row>
    <row r="34" spans="1:114" ht="15.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  <c r="DG34" s="13">
        <v>-4.6418537073367183E-2</v>
      </c>
      <c r="DH34" s="13">
        <v>0.2</v>
      </c>
      <c r="DI34" s="13">
        <v>-0.2</v>
      </c>
      <c r="DJ34" s="13">
        <v>-2.0635024885040654E-2</v>
      </c>
    </row>
    <row r="35" spans="1:114" ht="15.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</row>
    <row r="36" spans="1:114" ht="15.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70">
        <v>-0.21157626078908143</v>
      </c>
      <c r="DH36" s="70">
        <v>0</v>
      </c>
      <c r="DI36" s="70">
        <v>1</v>
      </c>
      <c r="DJ36" s="70">
        <v>0.2344087880535195</v>
      </c>
    </row>
    <row r="37" spans="1:114" ht="15.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  <c r="DG37" s="13">
        <v>-0.21157626078908143</v>
      </c>
      <c r="DH37" s="13">
        <v>0</v>
      </c>
      <c r="DI37" s="13">
        <v>1</v>
      </c>
      <c r="DJ37" s="13">
        <v>0.2344087880535195</v>
      </c>
    </row>
    <row r="38" spans="1:114" ht="15.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70">
        <v>1.0710785853861315</v>
      </c>
      <c r="DH38" s="70">
        <v>0.2</v>
      </c>
      <c r="DI38" s="70">
        <v>1.1000000000000001</v>
      </c>
      <c r="DJ38" s="70">
        <v>0.34590989484506451</v>
      </c>
    </row>
    <row r="39" spans="1:114" ht="15.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  <c r="DG39" s="13">
        <v>1.1056469155066306</v>
      </c>
      <c r="DH39" s="13">
        <v>0.9</v>
      </c>
      <c r="DI39" s="13">
        <v>3</v>
      </c>
      <c r="DJ39" s="13">
        <v>0</v>
      </c>
    </row>
    <row r="40" spans="1:114" ht="15.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  <c r="DG40" s="13">
        <v>1.3302241717695784</v>
      </c>
      <c r="DH40" s="13">
        <v>0</v>
      </c>
      <c r="DI40" s="13">
        <v>0</v>
      </c>
      <c r="DJ40" s="13">
        <v>0.53486107056377463</v>
      </c>
    </row>
    <row r="41" spans="1:114" ht="15.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3.6</v>
      </c>
      <c r="DJ41" s="13">
        <v>0</v>
      </c>
    </row>
    <row r="42" spans="1:114" ht="15.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70">
        <v>0.5157628253940949</v>
      </c>
      <c r="DH42" s="70">
        <v>0.3</v>
      </c>
      <c r="DI42" s="70">
        <v>-0.3</v>
      </c>
      <c r="DJ42" s="70">
        <v>-3.6108499160358853E-2</v>
      </c>
    </row>
    <row r="43" spans="1:114" ht="15.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  <c r="DG43" s="13">
        <v>0.5157628253940949</v>
      </c>
      <c r="DH43" s="13">
        <v>0.3</v>
      </c>
      <c r="DI43" s="13">
        <v>-0.3</v>
      </c>
      <c r="DJ43" s="13">
        <v>-3.6108499160358853E-2</v>
      </c>
    </row>
    <row r="44" spans="1:114" ht="15.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70">
        <v>2.0822817454308362</v>
      </c>
      <c r="DH44" s="70">
        <v>0</v>
      </c>
      <c r="DI44" s="70">
        <v>0</v>
      </c>
      <c r="DJ44" s="70">
        <v>0.66380821223452902</v>
      </c>
    </row>
    <row r="45" spans="1:114" ht="15.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  <c r="DG45" s="13">
        <v>2.0822817454308362</v>
      </c>
      <c r="DH45" s="13">
        <v>0</v>
      </c>
      <c r="DI45" s="13">
        <v>0</v>
      </c>
      <c r="DJ45" s="13">
        <v>0.66380821223452902</v>
      </c>
    </row>
    <row r="46" spans="1:114" ht="15.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70">
        <v>2.640571991444518</v>
      </c>
      <c r="DH46" s="70">
        <v>0</v>
      </c>
      <c r="DI46" s="70">
        <v>0</v>
      </c>
      <c r="DJ46" s="70">
        <v>2.9836110970626883E-2</v>
      </c>
    </row>
    <row r="47" spans="1:114" ht="15.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  <c r="DG47" s="13">
        <v>0</v>
      </c>
      <c r="DH47" s="13">
        <v>0</v>
      </c>
      <c r="DI47" s="13">
        <v>0</v>
      </c>
      <c r="DJ47" s="13">
        <v>1.0137995937266719</v>
      </c>
    </row>
    <row r="48" spans="1:114" ht="15.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  <c r="DG48" s="13">
        <v>2.7262827183746285</v>
      </c>
      <c r="DH48" s="13">
        <v>0</v>
      </c>
      <c r="DI48" s="13">
        <v>0</v>
      </c>
      <c r="DJ48" s="13">
        <v>0</v>
      </c>
    </row>
    <row r="49" spans="1:114" ht="15.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2.1435708925948926</v>
      </c>
      <c r="DH49" s="13">
        <v>0</v>
      </c>
      <c r="DI49" s="13">
        <v>-0.3</v>
      </c>
      <c r="DJ49" s="13">
        <v>4.838860325058203E-2</v>
      </c>
    </row>
    <row r="50" spans="1:114" ht="15.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70">
        <v>0.30264474387409201</v>
      </c>
      <c r="DH50" s="70">
        <v>0</v>
      </c>
      <c r="DI50" s="70">
        <v>-0.1</v>
      </c>
      <c r="DJ50" s="70">
        <v>0.52770145392320167</v>
      </c>
    </row>
    <row r="51" spans="1:114" ht="15.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  <c r="DG51" s="13">
        <v>0.30264474387409201</v>
      </c>
      <c r="DH51" s="13">
        <v>0</v>
      </c>
      <c r="DI51" s="13">
        <v>-0.1</v>
      </c>
      <c r="DJ51" s="13">
        <v>0.52770145392320167</v>
      </c>
    </row>
    <row r="52" spans="1:114" ht="15.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70">
        <v>-0.37303115384162977</v>
      </c>
      <c r="DH52" s="70">
        <v>0.6</v>
      </c>
      <c r="DI52" s="70">
        <v>-0.6</v>
      </c>
      <c r="DJ52" s="70">
        <v>0.15384271728962062</v>
      </c>
    </row>
    <row r="53" spans="1:114" ht="15.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  <c r="DG53" s="13">
        <v>-0.37303115384162977</v>
      </c>
      <c r="DH53" s="13">
        <v>0.6</v>
      </c>
      <c r="DI53" s="13">
        <v>-0.6</v>
      </c>
      <c r="DJ53" s="13">
        <v>0.15384271728962062</v>
      </c>
    </row>
    <row r="54" spans="1:114" ht="15.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70">
        <v>-8.8594335883929176E-3</v>
      </c>
      <c r="DH54" s="70">
        <v>0</v>
      </c>
      <c r="DI54" s="70">
        <v>0</v>
      </c>
      <c r="DJ54" s="70">
        <v>1.8326840965077196E-2</v>
      </c>
    </row>
    <row r="55" spans="1:114" ht="15.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</row>
    <row r="56" spans="1:114" ht="15.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  <c r="DG56" s="13">
        <v>-1.5524917539011529E-2</v>
      </c>
      <c r="DH56" s="13">
        <v>0.1</v>
      </c>
      <c r="DI56" s="13">
        <v>-0.1</v>
      </c>
      <c r="DJ56" s="13">
        <v>3.2118303232597789E-2</v>
      </c>
    </row>
    <row r="57" spans="1:114" ht="15.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70">
        <v>0.56265231857464126</v>
      </c>
      <c r="DH57" s="70">
        <v>0</v>
      </c>
      <c r="DI57" s="70">
        <v>0</v>
      </c>
      <c r="DJ57" s="70">
        <v>-0.19833106740653195</v>
      </c>
    </row>
    <row r="58" spans="1:114" ht="15.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  <c r="DG58" s="13">
        <v>0.56265231857464126</v>
      </c>
      <c r="DH58" s="13">
        <v>0</v>
      </c>
      <c r="DI58" s="13">
        <v>0</v>
      </c>
      <c r="DJ58" s="13">
        <v>-0.19833106740653195</v>
      </c>
    </row>
    <row r="59" spans="1:114" ht="15.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0" spans="1:114" ht="15.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</row>
    <row r="61" spans="1:114" ht="15.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</row>
    <row r="62" spans="1:114" ht="15.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5">
        <v>46113</v>
      </c>
      <c r="DH62" s="5">
        <v>46143</v>
      </c>
      <c r="DI62" s="5">
        <v>46174</v>
      </c>
      <c r="DJ62" s="5">
        <v>46204</v>
      </c>
    </row>
    <row r="63" spans="1:114" ht="15.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</row>
    <row r="64" spans="1:114" ht="15.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70">
        <v>-0.37074554579442642</v>
      </c>
      <c r="DH64" s="70">
        <v>1.3</v>
      </c>
      <c r="DI64" s="70">
        <v>-1.4</v>
      </c>
      <c r="DJ64" s="70">
        <v>-0.16496102308132254</v>
      </c>
    </row>
    <row r="65" spans="1:114" ht="15.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  <c r="DG65" s="13">
        <v>-0.37074554579442642</v>
      </c>
      <c r="DH65" s="13">
        <v>1.3</v>
      </c>
      <c r="DI65" s="13">
        <v>-1.4</v>
      </c>
      <c r="DJ65" s="13">
        <v>-0.16496102308132254</v>
      </c>
    </row>
    <row r="66" spans="1:114" ht="15.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71">
        <v>-0.2257491362266717</v>
      </c>
      <c r="DH66" s="71">
        <v>0</v>
      </c>
      <c r="DI66" s="71">
        <v>0</v>
      </c>
      <c r="DJ66" s="71">
        <v>0</v>
      </c>
    </row>
    <row r="67" spans="1:114" ht="15.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  <c r="DG67" s="13">
        <v>-0.2257491362266717</v>
      </c>
      <c r="DH67" s="13">
        <v>0</v>
      </c>
      <c r="DI67" s="13">
        <v>0</v>
      </c>
      <c r="DJ67" s="13">
        <v>0</v>
      </c>
    </row>
    <row r="68" spans="1:114" ht="15.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71">
        <v>0</v>
      </c>
      <c r="DH68" s="71">
        <v>0</v>
      </c>
      <c r="DI68" s="71">
        <v>0</v>
      </c>
      <c r="DJ68" s="71">
        <v>0</v>
      </c>
    </row>
    <row r="69" spans="1:114" ht="15.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</row>
    <row r="70" spans="1:114" ht="15.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71">
        <v>0</v>
      </c>
      <c r="DH70" s="71">
        <v>0</v>
      </c>
      <c r="DI70" s="71">
        <v>0</v>
      </c>
      <c r="DJ70" s="71">
        <v>4.7170279497401602</v>
      </c>
    </row>
    <row r="71" spans="1:114" ht="15.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3.3114215938645275</v>
      </c>
    </row>
    <row r="72" spans="1:114" ht="15.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5.387395206178347</v>
      </c>
    </row>
    <row r="73" spans="1:114" ht="15.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5.387395206178347</v>
      </c>
    </row>
    <row r="74" spans="1:114" ht="15.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3.8191865525825985</v>
      </c>
    </row>
    <row r="75" spans="1:114" ht="15.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</row>
    <row r="76" spans="1:114" ht="15.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</row>
    <row r="77" spans="1:114" ht="15.5">
      <c r="E77" s="69">
        <f>E70+E68+E66+E64+E57+E54+E52+E50+E46+E44+E42+E38+E36+E32+E30+E28+E26+E23+E21+E16+E3</f>
        <v>1000.0000000000002</v>
      </c>
    </row>
    <row r="78" spans="1:114" ht="15.5">
      <c r="E78" s="69"/>
    </row>
    <row r="79" spans="1:114" ht="15.5">
      <c r="E79" s="69"/>
    </row>
    <row r="80" spans="1:114" ht="15.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J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2026-08-28T12:09:36Z</dcterms:modified>
</cp:coreProperties>
</file>