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MES_PPI\PPI_M&amp;U\MARCH_2026\"/>
    </mc:Choice>
  </mc:AlternateContent>
  <xr:revisionPtr revIDLastSave="0" documentId="13_ncr:1_{2D4064CF-47F2-41E3-8797-247C6453B07F}" xr6:coauthVersionLast="47" xr6:coauthVersionMax="47" xr10:uidLastSave="{00000000-0000-0000-0000-000000000000}"/>
  <bookViews>
    <workbookView xWindow="-110" yWindow="-110" windowWidth="19420" windowHeight="11500" firstSheet="4" activeTab="5" xr2:uid="{FC5740B4-7FB2-4463-A5A0-617BE312287E}"/>
  </bookViews>
  <sheets>
    <sheet name="INDICES PER DIVISION" sheetId="1" r:id="rId1"/>
    <sheet name="ANNUAL INFLATION PER DIVISION" sheetId="2" r:id="rId2"/>
    <sheet name="MONTHLY INFLATION PER DIVISION" sheetId="3" r:id="rId3"/>
    <sheet name="INDICES PER CLASS" sheetId="4" r:id="rId4"/>
    <sheet name="ANNUAL INFLATION PER CLASS" sheetId="6" r:id="rId5"/>
    <sheet name="MONTHLY INFLATION PER CLASS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71" i="5" s="1"/>
  <c r="E74" i="5"/>
  <c r="E73" i="5"/>
  <c r="E69" i="5"/>
  <c r="E68" i="5" s="1"/>
  <c r="E67" i="5"/>
  <c r="E66" i="5" s="1"/>
  <c r="E65" i="5"/>
  <c r="E64" i="5" s="1"/>
  <c r="E58" i="5"/>
  <c r="E57" i="5" s="1"/>
  <c r="E56" i="5"/>
  <c r="E54" i="5" s="1"/>
  <c r="E55" i="5"/>
  <c r="E53" i="5"/>
  <c r="E52" i="5" s="1"/>
  <c r="E51" i="5"/>
  <c r="E50" i="5" s="1"/>
  <c r="E49" i="5"/>
  <c r="E48" i="5"/>
  <c r="E47" i="5"/>
  <c r="E45" i="5"/>
  <c r="E44" i="5" s="1"/>
  <c r="E43" i="5"/>
  <c r="E42" i="5" s="1"/>
  <c r="E41" i="5"/>
  <c r="E40" i="5"/>
  <c r="E39" i="5"/>
  <c r="E37" i="5"/>
  <c r="E36" i="5" s="1"/>
  <c r="E35" i="5"/>
  <c r="E34" i="5"/>
  <c r="E33" i="5"/>
  <c r="E31" i="5"/>
  <c r="E30" i="5" s="1"/>
  <c r="E29" i="5"/>
  <c r="E28" i="5" s="1"/>
  <c r="E27" i="5"/>
  <c r="E26" i="5" s="1"/>
  <c r="E25" i="5"/>
  <c r="E24" i="5"/>
  <c r="E22" i="5"/>
  <c r="E21" i="5" s="1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75" i="6"/>
  <c r="E71" i="6" s="1"/>
  <c r="E74" i="6"/>
  <c r="E73" i="6"/>
  <c r="E72" i="6" s="1"/>
  <c r="E69" i="6"/>
  <c r="E68" i="6" s="1"/>
  <c r="E67" i="6"/>
  <c r="E66" i="6" s="1"/>
  <c r="E65" i="6"/>
  <c r="E64" i="6"/>
  <c r="E58" i="6"/>
  <c r="E57" i="6" s="1"/>
  <c r="E56" i="6"/>
  <c r="E55" i="6"/>
  <c r="E54" i="6" s="1"/>
  <c r="E53" i="6"/>
  <c r="E52" i="6" s="1"/>
  <c r="E51" i="6"/>
  <c r="E50" i="6" s="1"/>
  <c r="E49" i="6"/>
  <c r="E48" i="6"/>
  <c r="E47" i="6"/>
  <c r="E45" i="6"/>
  <c r="E44" i="6"/>
  <c r="E43" i="6"/>
  <c r="E42" i="6" s="1"/>
  <c r="E41" i="6"/>
  <c r="E40" i="6"/>
  <c r="E39" i="6"/>
  <c r="E38" i="6" s="1"/>
  <c r="E37" i="6"/>
  <c r="E36" i="6" s="1"/>
  <c r="E35" i="6"/>
  <c r="E34" i="6"/>
  <c r="E33" i="6"/>
  <c r="E32" i="6" s="1"/>
  <c r="E31" i="6"/>
  <c r="E30" i="6" s="1"/>
  <c r="E29" i="6"/>
  <c r="E28" i="6" s="1"/>
  <c r="E27" i="6"/>
  <c r="E26" i="6"/>
  <c r="E25" i="6"/>
  <c r="E23" i="6" s="1"/>
  <c r="E24" i="6"/>
  <c r="E22" i="6"/>
  <c r="E21" i="6"/>
  <c r="E20" i="6"/>
  <c r="E19" i="6"/>
  <c r="E18" i="6"/>
  <c r="E17" i="6"/>
  <c r="E15" i="6"/>
  <c r="E14" i="6"/>
  <c r="E13" i="6"/>
  <c r="E12" i="6"/>
  <c r="E11" i="6"/>
  <c r="E10" i="6"/>
  <c r="E9" i="6"/>
  <c r="E8" i="6"/>
  <c r="E7" i="6"/>
  <c r="E6" i="6"/>
  <c r="E5" i="6"/>
  <c r="E4" i="6"/>
  <c r="E46" i="5" l="1"/>
  <c r="E23" i="5"/>
  <c r="E32" i="5"/>
  <c r="E38" i="5"/>
  <c r="E16" i="5"/>
  <c r="E3" i="5"/>
  <c r="E2" i="5" s="1"/>
  <c r="E80" i="5"/>
  <c r="E16" i="6"/>
  <c r="E3" i="6"/>
  <c r="E2" i="6" s="1"/>
  <c r="E80" i="6"/>
  <c r="E46" i="6"/>
  <c r="E72" i="5"/>
  <c r="E70" i="5" s="1"/>
  <c r="E70" i="6"/>
  <c r="E77" i="5" l="1"/>
  <c r="E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26CD4785-337E-41B5-AD7E-D72C51B82FD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FCD712D-9F9F-4227-BCE5-9D84E6817FC4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502CA9A-7320-4A08-B9E6-2C9A5F50884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sharedStrings.xml><?xml version="1.0" encoding="utf-8"?>
<sst xmlns="http://schemas.openxmlformats.org/spreadsheetml/2006/main" count="417" uniqueCount="137">
  <si>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</si>
  <si>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</si>
  <si>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</si>
  <si>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</si>
  <si>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</si>
  <si>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</si>
  <si>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</si>
  <si>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</si>
  <si>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</si>
  <si>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</si>
  <si>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</si>
  <si>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</si>
  <si>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</si>
  <si>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</si>
  <si>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</si>
  <si>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</si>
  <si>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</si>
  <si>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</si>
  <si>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</si>
  <si>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</si>
  <si>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</si>
  <si>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</si>
  <si>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</si>
  <si>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</si>
  <si>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</si>
  <si>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</si>
  <si>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</si>
  <si>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</si>
  <si>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</si>
  <si>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</si>
  <si>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</si>
  <si>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</si>
  <si>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</si>
  <si>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</si>
  <si>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</si>
  <si>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</si>
  <si>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</si>
  <si>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</si>
  <si>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</si>
  <si>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</si>
  <si>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</si>
  <si>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</si>
  <si>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</si>
  <si>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</si>
  <si>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</si>
  <si>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</si>
  <si>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</si>
  <si>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</si>
  <si>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</si>
  <si>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</si>
  <si>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</si>
  <si>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</si>
  <si>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</si>
  <si>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</si>
  <si>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</si>
  <si>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</si>
  <si>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</si>
  <si>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</si>
  <si>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</si>
  <si>
    <t>ISIC_CODE</t>
  </si>
  <si>
    <t>Group</t>
  </si>
  <si>
    <t>Class</t>
  </si>
  <si>
    <t>Processing and preserving of meat</t>
  </si>
  <si>
    <t>1020</t>
  </si>
  <si>
    <t>Processing and preserving of fish, crustaceans and molluscs</t>
  </si>
  <si>
    <t xml:space="preserve"> Processing and preserving of fruit and vegetables</t>
  </si>
  <si>
    <t>Manufacture of vegetable and animal oils and fats</t>
  </si>
  <si>
    <t>Manufacture of grain mill products, starches and starch products</t>
  </si>
  <si>
    <t>Manufacture of dairy products</t>
  </si>
  <si>
    <t xml:space="preserve"> Manufacture of sugar</t>
  </si>
  <si>
    <t>Manufacture of bakery products</t>
  </si>
  <si>
    <t>1072</t>
  </si>
  <si>
    <t>1076</t>
  </si>
  <si>
    <t xml:space="preserve"> Processing of Coffee</t>
  </si>
  <si>
    <t xml:space="preserve"> Distilling, rectifying and blending of spirits</t>
  </si>
  <si>
    <t>1077</t>
  </si>
  <si>
    <t xml:space="preserve"> Processing of Tea</t>
  </si>
  <si>
    <t xml:space="preserve"> Manufacture of malt liquors and malt</t>
  </si>
  <si>
    <t>1079</t>
  </si>
  <si>
    <t xml:space="preserve"> Manufacture of other food products n.e.c.</t>
  </si>
  <si>
    <t xml:space="preserve"> Manufacture of prepared animal feeds</t>
  </si>
  <si>
    <t>1101</t>
  </si>
  <si>
    <t>1102</t>
  </si>
  <si>
    <t xml:space="preserve"> Manufacture of wines</t>
  </si>
  <si>
    <t xml:space="preserve"> Preparation and spinning of textile fibres</t>
  </si>
  <si>
    <t>1103</t>
  </si>
  <si>
    <t xml:space="preserve"> Manufacture of made-up textile articles, except apparel</t>
  </si>
  <si>
    <t>1104</t>
  </si>
  <si>
    <t xml:space="preserve"> Manufacture of soft drinks; production of mineral waters and other bottled waters</t>
  </si>
  <si>
    <t>1200</t>
  </si>
  <si>
    <t xml:space="preserve"> Manufacture of tobacco products</t>
  </si>
  <si>
    <t xml:space="preserve"> Manufacture of pulp, paper and paperboard</t>
  </si>
  <si>
    <t xml:space="preserve"> Manufacture of corrugated paper and paperboard and of containers of paper and paper board</t>
  </si>
  <si>
    <t>1392</t>
  </si>
  <si>
    <t xml:space="preserve"> Manufacture of other articles of paper and paperboard</t>
  </si>
  <si>
    <t xml:space="preserve"> Manufacture of wearing apparel, except fur apparel</t>
  </si>
  <si>
    <t>1520</t>
  </si>
  <si>
    <t>Manufacture of footwear</t>
  </si>
  <si>
    <t xml:space="preserve"> Manufacture of paints, varnishes and similar coatings, printing ink and mastics</t>
  </si>
  <si>
    <t xml:space="preserve"> Manufacture of builders’ carpentry and joinery</t>
  </si>
  <si>
    <t xml:space="preserve"> Manufacture of soap and detergents, cleaning and polishing preparations, perfumes and toilet preparations</t>
  </si>
  <si>
    <t xml:space="preserve"> Manufacture of other chemical products n.e.c.</t>
  </si>
  <si>
    <t>1701</t>
  </si>
  <si>
    <t>1702</t>
  </si>
  <si>
    <t>1709</t>
  </si>
  <si>
    <t xml:space="preserve"> Manufacture of clay building materials</t>
  </si>
  <si>
    <t>1811</t>
  </si>
  <si>
    <t xml:space="preserve"> Printing</t>
  </si>
  <si>
    <t xml:space="preserve"> Manufacture of cement, lime and plaster</t>
  </si>
  <si>
    <t xml:space="preserve"> Manufacture of articles of concrete, cement and plaster</t>
  </si>
  <si>
    <t>2022</t>
  </si>
  <si>
    <t>2023</t>
  </si>
  <si>
    <t>2029</t>
  </si>
  <si>
    <t>2100</t>
  </si>
  <si>
    <t xml:space="preserve"> Manufacture of pharmaceuticals, medicinal chemical and botanical products</t>
  </si>
  <si>
    <t xml:space="preserve"> Manufacture of batteries and accumulators</t>
  </si>
  <si>
    <t xml:space="preserve"> Manufacture of other electronic and electric wires and cables</t>
  </si>
  <si>
    <t>Manufacture of plastics products</t>
  </si>
  <si>
    <t>2392</t>
  </si>
  <si>
    <t>2394</t>
  </si>
  <si>
    <t>2395</t>
  </si>
  <si>
    <t>2410</t>
  </si>
  <si>
    <t xml:space="preserve"> Manufacture of basic iron and steel</t>
  </si>
  <si>
    <t>2599</t>
  </si>
  <si>
    <t xml:space="preserve"> Manufacture of other fabricated metal products n.e.c.</t>
  </si>
  <si>
    <t>PRODUCER PRICE INDEX-UTILITIES</t>
  </si>
  <si>
    <t>ELECTRICITY, GAS, STEAM AND AIR CONDITIONING SUPPLY</t>
  </si>
  <si>
    <t xml:space="preserve"> Electric power generation, transmission and distribution</t>
  </si>
  <si>
    <t xml:space="preserve"> Water collection, treatment and supply</t>
  </si>
  <si>
    <t>Waste collection</t>
  </si>
  <si>
    <t>Materials recovery</t>
  </si>
  <si>
    <t>3811</t>
  </si>
  <si>
    <t xml:space="preserve"> Collection of non-hazardous waste</t>
  </si>
  <si>
    <t>3812</t>
  </si>
  <si>
    <t>Collection of hazardous waste</t>
  </si>
  <si>
    <t>1010</t>
  </si>
  <si>
    <t>Manufacture of products of wood, cork, straw and plaiting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</si>
</sst>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(* #,##0.00_);_(* \(#,##0.00\);_(* &quot;-&quot;_);_(@_)"/>
    <numFmt numFmtId="169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0" fontId="5" fillId="0" borderId="0"/>
  </cellStyleXfs>
  <cellXfs count="113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  <xf numFmtId="0" fontId="4" fillId="2" borderId="0" xfId="0" applyFont="1" applyFill="1" applyAlignment="1">
      <alignment horizontal="left"/>
    </xf>
    <xf numFmtId="164" fontId="4" fillId="2" borderId="0" xfId="1" applyFont="1" applyFill="1" applyBorder="1" applyAlignment="1">
      <alignment horizontal="left" wrapText="1"/>
    </xf>
    <xf numFmtId="17" fontId="4" fillId="2" borderId="0" xfId="1" applyNumberFormat="1" applyFont="1" applyFill="1" applyBorder="1" applyAlignment="1">
      <alignment horizontal="center" wrapText="1"/>
    </xf>
    <xf numFmtId="17" fontId="4" fillId="2" borderId="0" xfId="1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164" fontId="3" fillId="4" borderId="0" xfId="1" applyFont="1" applyFill="1" applyAlignment="1">
      <alignment wrapText="1"/>
    </xf>
    <xf numFmtId="164" fontId="3" fillId="5" borderId="0" xfId="1" applyFont="1" applyFill="1" applyAlignment="1">
      <alignment wrapText="1"/>
    </xf>
    <xf numFmtId="2" fontId="3" fillId="4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5" borderId="0" xfId="0" quotePrefix="1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left" vertical="center" wrapText="1" indent="4"/>
    </xf>
    <xf numFmtId="167" fontId="8" fillId="0" borderId="0" xfId="1" quotePrefix="1" applyNumberFormat="1" applyFont="1" applyFill="1" applyAlignment="1"/>
    <xf numFmtId="164" fontId="7" fillId="0" borderId="0" xfId="1" applyFont="1" applyFill="1" applyAlignment="1">
      <alignment vertical="center" wrapText="1"/>
    </xf>
    <xf numFmtId="167" fontId="8" fillId="0" borderId="0" xfId="1" applyNumberFormat="1" applyFont="1" applyFill="1" applyAlignment="1"/>
    <xf numFmtId="0" fontId="7" fillId="0" borderId="0" xfId="0" applyFont="1" applyAlignment="1">
      <alignment wrapText="1"/>
    </xf>
    <xf numFmtId="164" fontId="7" fillId="0" borderId="0" xfId="1" applyFont="1" applyFill="1" applyAlignment="1">
      <alignment wrapText="1"/>
    </xf>
    <xf numFmtId="0" fontId="7" fillId="0" borderId="0" xfId="0" applyFont="1" applyAlignment="1">
      <alignment horizontal="left" vertical="center" wrapText="1" indent="4"/>
    </xf>
    <xf numFmtId="167" fontId="8" fillId="0" borderId="0" xfId="1" applyNumberFormat="1" applyFont="1" applyFill="1"/>
    <xf numFmtId="164" fontId="8" fillId="0" borderId="0" xfId="1" applyFont="1" applyFill="1" applyBorder="1" applyAlignment="1"/>
    <xf numFmtId="0" fontId="8" fillId="0" borderId="0" xfId="0" quotePrefix="1" applyFont="1"/>
    <xf numFmtId="164" fontId="8" fillId="0" borderId="0" xfId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4" fillId="5" borderId="0" xfId="0" quotePrefix="1" applyFont="1" applyFill="1"/>
    <xf numFmtId="0" fontId="4" fillId="0" borderId="0" xfId="0" applyFont="1"/>
    <xf numFmtId="164" fontId="8" fillId="0" borderId="0" xfId="1" applyFont="1" applyFill="1" applyAlignment="1"/>
    <xf numFmtId="164" fontId="4" fillId="5" borderId="0" xfId="0" applyNumberFormat="1" applyFont="1" applyFill="1"/>
    <xf numFmtId="0" fontId="4" fillId="0" borderId="0" xfId="0" quotePrefix="1" applyFont="1"/>
    <xf numFmtId="164" fontId="3" fillId="5" borderId="0" xfId="0" applyNumberFormat="1" applyFont="1" applyFill="1" applyAlignment="1">
      <alignment wrapText="1"/>
    </xf>
    <xf numFmtId="0" fontId="7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164" fontId="3" fillId="5" borderId="0" xfId="0" applyNumberFormat="1" applyFont="1" applyFill="1"/>
    <xf numFmtId="0" fontId="3" fillId="0" borderId="0" xfId="0" applyFont="1"/>
    <xf numFmtId="0" fontId="7" fillId="0" borderId="0" xfId="0" quotePrefix="1" applyFont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quotePrefix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4" fontId="4" fillId="0" borderId="0" xfId="1" applyFont="1" applyFill="1" applyAlignment="1"/>
    <xf numFmtId="169" fontId="9" fillId="0" borderId="0" xfId="1" applyNumberFormat="1" applyFont="1"/>
    <xf numFmtId="0" fontId="4" fillId="0" borderId="0" xfId="4" applyFont="1"/>
    <xf numFmtId="164" fontId="4" fillId="0" borderId="0" xfId="1" applyFont="1" applyAlignment="1"/>
    <xf numFmtId="168" fontId="4" fillId="5" borderId="0" xfId="3" applyNumberFormat="1" applyFont="1" applyFill="1"/>
    <xf numFmtId="164" fontId="4" fillId="5" borderId="0" xfId="1" applyFont="1" applyFill="1" applyAlignment="1"/>
    <xf numFmtId="164" fontId="3" fillId="0" borderId="0" xfId="1" applyFont="1" applyFill="1" applyAlignment="1">
      <alignment vertical="center" wrapText="1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1" applyFont="1"/>
    <xf numFmtId="166" fontId="3" fillId="5" borderId="0" xfId="1" applyNumberFormat="1" applyFont="1" applyFill="1" applyAlignment="1">
      <alignment wrapText="1"/>
    </xf>
    <xf numFmtId="166" fontId="3" fillId="5" borderId="0" xfId="3" applyNumberFormat="1" applyFont="1" applyFill="1" applyAlignment="1">
      <alignment wrapText="1"/>
    </xf>
    <xf numFmtId="166" fontId="7" fillId="0" borderId="0" xfId="1" applyNumberFormat="1" applyFont="1" applyFill="1" applyAlignment="1">
      <alignment vertical="center" wrapText="1"/>
    </xf>
    <xf numFmtId="166" fontId="7" fillId="0" borderId="0" xfId="1" applyNumberFormat="1" applyFont="1" applyFill="1" applyAlignment="1">
      <alignment wrapText="1"/>
    </xf>
    <xf numFmtId="166" fontId="8" fillId="0" borderId="0" xfId="1" applyNumberFormat="1" applyFont="1" applyFill="1" applyBorder="1" applyAlignment="1"/>
    <xf numFmtId="166" fontId="8" fillId="0" borderId="0" xfId="1" applyNumberFormat="1" applyFont="1" applyFill="1" applyAlignment="1">
      <alignment wrapText="1"/>
    </xf>
    <xf numFmtId="166" fontId="8" fillId="0" borderId="0" xfId="1" applyNumberFormat="1" applyFont="1" applyFill="1" applyAlignment="1"/>
    <xf numFmtId="0" fontId="12" fillId="0" borderId="0" xfId="0" applyFont="1"/>
    <xf numFmtId="165" fontId="12" fillId="0" borderId="0" xfId="1" applyNumberFormat="1" applyFont="1" applyAlignment="1"/>
    <xf numFmtId="166" fontId="4" fillId="0" borderId="0" xfId="3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4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166" fontId="3" fillId="4" borderId="0" xfId="3" applyNumberFormat="1" applyFont="1" applyFill="1" applyAlignment="1">
      <alignment wrapText="1"/>
    </xf>
    <xf numFmtId="166" fontId="4" fillId="5" borderId="0" xfId="0" applyNumberFormat="1" applyFont="1" applyFill="1"/>
    <xf numFmtId="166" fontId="3" fillId="5" borderId="0" xfId="0" applyNumberFormat="1" applyFont="1" applyFill="1" applyAlignment="1">
      <alignment wrapText="1"/>
    </xf>
    <xf numFmtId="166" fontId="3" fillId="5" borderId="0" xfId="0" applyNumberFormat="1" applyFont="1" applyFill="1"/>
    <xf numFmtId="166" fontId="4" fillId="5" borderId="0" xfId="0" applyNumberFormat="1" applyFont="1" applyFill="1" applyAlignment="1">
      <alignment wrapText="1"/>
    </xf>
    <xf numFmtId="166" fontId="4" fillId="0" borderId="0" xfId="3" applyNumberFormat="1" applyFont="1" applyAlignment="1"/>
    <xf numFmtId="166" fontId="4" fillId="5" borderId="0" xfId="1" applyNumberFormat="1" applyFont="1" applyFill="1" applyAlignment="1"/>
    <xf numFmtId="166" fontId="4" fillId="0" borderId="0" xfId="0" applyNumberFormat="1" applyFont="1"/>
    <xf numFmtId="166" fontId="4" fillId="0" borderId="0" xfId="1" applyNumberFormat="1" applyFont="1" applyFill="1" applyAlignment="1"/>
    <xf numFmtId="166" fontId="12" fillId="0" borderId="0" xfId="3" applyNumberFormat="1" applyFont="1" applyAlignment="1"/>
    <xf numFmtId="164" fontId="4" fillId="2" borderId="2" xfId="1" applyFont="1" applyFill="1" applyBorder="1" applyAlignment="1">
      <alignment horizontal="left" wrapText="1"/>
    </xf>
    <xf numFmtId="164" fontId="3" fillId="4" borderId="2" xfId="1" applyFont="1" applyFill="1" applyBorder="1" applyAlignment="1">
      <alignment wrapText="1"/>
    </xf>
    <xf numFmtId="164" fontId="3" fillId="5" borderId="2" xfId="1" applyFont="1" applyFill="1" applyBorder="1" applyAlignment="1">
      <alignment wrapText="1"/>
    </xf>
    <xf numFmtId="164" fontId="7" fillId="0" borderId="2" xfId="1" applyFont="1" applyFill="1" applyBorder="1" applyAlignment="1">
      <alignment vertical="center" wrapText="1"/>
    </xf>
    <xf numFmtId="164" fontId="4" fillId="5" borderId="2" xfId="0" applyNumberFormat="1" applyFont="1" applyFill="1" applyBorder="1"/>
    <xf numFmtId="164" fontId="3" fillId="5" borderId="2" xfId="0" applyNumberFormat="1" applyFont="1" applyFill="1" applyBorder="1" applyAlignment="1">
      <alignment wrapText="1"/>
    </xf>
    <xf numFmtId="164" fontId="3" fillId="5" borderId="2" xfId="0" applyNumberFormat="1" applyFont="1" applyFill="1" applyBorder="1"/>
    <xf numFmtId="164" fontId="4" fillId="5" borderId="2" xfId="0" applyNumberFormat="1" applyFont="1" applyFill="1" applyBorder="1" applyAlignment="1">
      <alignment wrapText="1"/>
    </xf>
    <xf numFmtId="17" fontId="4" fillId="2" borderId="2" xfId="1" applyNumberFormat="1" applyFont="1" applyFill="1" applyBorder="1" applyAlignment="1">
      <alignment horizontal="right" wrapText="1"/>
    </xf>
    <xf numFmtId="168" fontId="4" fillId="5" borderId="2" xfId="3" applyNumberFormat="1" applyFont="1" applyFill="1" applyBorder="1"/>
    <xf numFmtId="164" fontId="3" fillId="0" borderId="2" xfId="1" applyFont="1" applyFill="1" applyBorder="1" applyAlignment="1">
      <alignment vertical="center" wrapText="1"/>
    </xf>
    <xf numFmtId="164" fontId="4" fillId="0" borderId="2" xfId="1" applyFont="1" applyBorder="1"/>
    <xf numFmtId="0" fontId="0" fillId="0" borderId="2" xfId="0" applyBorder="1"/>
    <xf numFmtId="0" fontId="4" fillId="2" borderId="0" xfId="0" applyFont="1" applyFill="1" applyAlignment="1">
      <alignment horizontal="center"/>
    </xf>
  </cellXfs>
  <cellStyles count="5">
    <cellStyle name="Comma" xfId="1" builtinId="3"/>
    <cellStyle name="Comma [0]" xfId="3" builtinId="6"/>
    <cellStyle name="Normal" xfId="0" builtinId="0"/>
    <cellStyle name="Normal_Sheet1_1" xfId="4" xr:uid="{CDB65ED8-316A-4A94-B6D5-95B9639B9320}"/>
    <cellStyle name="Normal_Sheet2" xfId="2" xr:uid="{38485D21-BA91-4D30-80F9-6C61D1A06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EB%202026/UPDATED%20Rebased%20PPI%20M&amp;U%20February%20%202026.xlsx" TargetMode="External"/><Relationship Id="rId2" Type="http://schemas.openxmlformats.org/officeDocument/2006/relationships/externalLinkPath" Target="file:///D:\Bonita%20Natamba\PUBLISHED%20PPI%202016-2017\COMPILATION%20FILE\FEB%202026\UPDATED%20Rebased%20PPI%20M&amp;U%20February%20%202026.xlsx" TargetMode="External"/><Relationship Id="rId1" Type="http://schemas.openxmlformats.org/officeDocument/2006/relationships/externalLinkPath" Target="/DMES_PPI/PPI_M&amp;U/FEB%202026/UPDATED%20Rebased%20PPI%20M&amp;U%20February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ructure"/>
      <sheetName val="PR_IMP"/>
      <sheetName val="Exchange Rate"/>
      <sheetName val="Returned Prices "/>
      <sheetName val="CHECK!!!"/>
      <sheetName val="Price in Shs"/>
      <sheetName val="Final Prices "/>
      <sheetName val="Sheet2"/>
      <sheetName val="PR"/>
      <sheetName val="Sheet3"/>
      <sheetName val="CLASSI_EAI"/>
      <sheetName val="GroupI"/>
      <sheetName val="VALIDATION"/>
      <sheetName val="M&amp;U_DivisionI"/>
      <sheetName val="%Monthly Changes"/>
      <sheetName val="%Annual Changes"/>
      <sheetName val="Drivers Detailed"/>
      <sheetName val="PPI Vs CPI 2016_17"/>
      <sheetName val="PPI 2009_10 Vs 2016_17"/>
      <sheetName val="GRAPHS"/>
      <sheetName val="Chain linked PPI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ISIC_CODE</v>
          </cell>
          <cell r="B1" t="str">
            <v>Establishment name</v>
          </cell>
          <cell r="C1" t="str">
            <v>Product Name</v>
          </cell>
          <cell r="D1" t="str">
            <v>Product Description</v>
          </cell>
          <cell r="E1" t="str">
            <v>Unit of Pricing</v>
          </cell>
          <cell r="F1" t="str">
            <v>Currency</v>
          </cell>
          <cell r="G1" t="str">
            <v>Weight</v>
          </cell>
        </row>
        <row r="2">
          <cell r="B2" t="str">
            <v>MANUFACTURING</v>
          </cell>
          <cell r="G2"/>
        </row>
        <row r="3">
          <cell r="B3" t="str">
            <v>MANUFACTURE OF FOOD PRODUCTS</v>
          </cell>
          <cell r="G3"/>
        </row>
        <row r="4">
          <cell r="A4" t="str">
            <v>1010</v>
          </cell>
          <cell r="B4" t="str">
            <v>Processing and preserving of meat</v>
          </cell>
          <cell r="F4" t="str">
            <v>Index</v>
          </cell>
          <cell r="G4">
            <v>74.87264098835</v>
          </cell>
        </row>
        <row r="5">
          <cell r="A5" t="str">
            <v>1010</v>
          </cell>
          <cell r="B5" t="str">
            <v xml:space="preserve"> Processing and preserving of meat</v>
          </cell>
          <cell r="F5" t="str">
            <v>Geomean</v>
          </cell>
          <cell r="G5"/>
        </row>
        <row r="6">
          <cell r="A6">
            <v>1010</v>
          </cell>
          <cell r="B6" t="str">
            <v>UGACHICK POULTRY BREEDERS LIMITED</v>
          </cell>
          <cell r="C6" t="str">
            <v>Muchomo Plate</v>
          </cell>
          <cell r="D6" t="str">
            <v>Muchomo Plate</v>
          </cell>
          <cell r="E6" t="str">
            <v>1.4-1.69 kg</v>
          </cell>
          <cell r="F6" t="str">
            <v>Shillings</v>
          </cell>
          <cell r="G6"/>
        </row>
        <row r="7">
          <cell r="A7">
            <v>1010</v>
          </cell>
          <cell r="B7" t="str">
            <v>UGACHICK POULTRY BREEDERS LIMITED</v>
          </cell>
          <cell r="C7" t="str">
            <v>Twin Family Pack</v>
          </cell>
          <cell r="D7" t="str">
            <v>Chicken Pieces Pack</v>
          </cell>
          <cell r="E7" t="str">
            <v>2.10 kg</v>
          </cell>
          <cell r="F7" t="str">
            <v>Shillings</v>
          </cell>
          <cell r="G7"/>
        </row>
        <row r="8">
          <cell r="A8">
            <v>1010</v>
          </cell>
          <cell r="B8" t="str">
            <v>UGACHICK POULTRY BREEDERS LIMITED</v>
          </cell>
          <cell r="C8" t="str">
            <v>Supa</v>
          </cell>
          <cell r="D8" t="str">
            <v>Chicken Pack</v>
          </cell>
          <cell r="E8" t="str">
            <v>1 kg</v>
          </cell>
          <cell r="F8" t="str">
            <v>Shillings</v>
          </cell>
          <cell r="G8"/>
        </row>
        <row r="9">
          <cell r="A9">
            <v>1010</v>
          </cell>
          <cell r="B9" t="str">
            <v>UGACHICK POULTRY BREEDERS LIMITED</v>
          </cell>
          <cell r="C9" t="str">
            <v>Jumbo Piece</v>
          </cell>
          <cell r="D9" t="str">
            <v>Jumbo Piece</v>
          </cell>
          <cell r="E9" t="str">
            <v>I kg packet</v>
          </cell>
          <cell r="F9" t="str">
            <v>Shillings</v>
          </cell>
          <cell r="G9"/>
        </row>
        <row r="10">
          <cell r="A10">
            <v>1010</v>
          </cell>
          <cell r="B10" t="str">
            <v>UGACHICK POULTRY BREEDERS LIMITED</v>
          </cell>
          <cell r="C10" t="str">
            <v>Gizzards Plate</v>
          </cell>
          <cell r="D10" t="str">
            <v>Gizzards Pack</v>
          </cell>
          <cell r="E10" t="str">
            <v>500gms</v>
          </cell>
          <cell r="F10" t="str">
            <v>Shillings</v>
          </cell>
          <cell r="G10"/>
        </row>
        <row r="11">
          <cell r="A11">
            <v>1010</v>
          </cell>
          <cell r="B11" t="str">
            <v>UGACHICK POULTRY BREEDERS LIMITED</v>
          </cell>
          <cell r="C11" t="str">
            <v>Drumstick/Thigh plate</v>
          </cell>
          <cell r="D11" t="str">
            <v>Drumstick/Thigh plate</v>
          </cell>
          <cell r="E11" t="str">
            <v>500gms</v>
          </cell>
          <cell r="F11" t="str">
            <v>Shillings</v>
          </cell>
          <cell r="G11"/>
        </row>
        <row r="12">
          <cell r="A12">
            <v>1010</v>
          </cell>
          <cell r="B12" t="str">
            <v>UGACHICK POULTRY BREEDERS LIMITED</v>
          </cell>
          <cell r="C12" t="str">
            <v>Budget Pack</v>
          </cell>
          <cell r="D12" t="str">
            <v>Chicken Pack</v>
          </cell>
          <cell r="E12" t="str">
            <v>1 kgm</v>
          </cell>
          <cell r="F12" t="str">
            <v>Shillings</v>
          </cell>
          <cell r="G12"/>
        </row>
        <row r="13">
          <cell r="A13">
            <v>1010</v>
          </cell>
          <cell r="B13" t="str">
            <v>KIBIMBA ABATTOIR - FORTPORTAL</v>
          </cell>
          <cell r="C13" t="str">
            <v xml:space="preserve">Beef  </v>
          </cell>
          <cell r="D13" t="str">
            <v xml:space="preserve">Beef  </v>
          </cell>
          <cell r="E13" t="str">
            <v>1 kgm</v>
          </cell>
          <cell r="F13" t="str">
            <v>Shillings</v>
          </cell>
          <cell r="G13"/>
        </row>
        <row r="14">
          <cell r="A14">
            <v>1010</v>
          </cell>
          <cell r="B14" t="str">
            <v>KIBIMBA ABATTOIR - FORTPORTAL</v>
          </cell>
          <cell r="C14" t="str">
            <v>Mutton</v>
          </cell>
          <cell r="D14" t="str">
            <v>Mutton</v>
          </cell>
          <cell r="E14" t="str">
            <v>1 kgm</v>
          </cell>
          <cell r="F14" t="str">
            <v>Shillings</v>
          </cell>
          <cell r="G14"/>
        </row>
        <row r="15">
          <cell r="A15">
            <v>1010</v>
          </cell>
          <cell r="B15" t="str">
            <v>KIBIMBA ABATTOIR - FORTPORTAL</v>
          </cell>
          <cell r="C15" t="str">
            <v xml:space="preserve">Goat Meat </v>
          </cell>
          <cell r="D15" t="str">
            <v xml:space="preserve">Goat Meat </v>
          </cell>
          <cell r="E15" t="str">
            <v>1 kgm</v>
          </cell>
          <cell r="F15" t="str">
            <v>Shillings</v>
          </cell>
          <cell r="G15"/>
        </row>
        <row r="16">
          <cell r="A16">
            <v>1010</v>
          </cell>
          <cell r="B16" t="str">
            <v xml:space="preserve">JINJA CITY ABATTOIR </v>
          </cell>
          <cell r="C16" t="str">
            <v>Beef</v>
          </cell>
          <cell r="D16" t="str">
            <v>Beef</v>
          </cell>
          <cell r="E16" t="str">
            <v>1 kgm</v>
          </cell>
          <cell r="F16" t="str">
            <v>Shillings</v>
          </cell>
          <cell r="G16"/>
        </row>
        <row r="17">
          <cell r="A17">
            <v>1010</v>
          </cell>
          <cell r="B17" t="str">
            <v xml:space="preserve">JINJA CITY ABATTOIR </v>
          </cell>
          <cell r="C17" t="str">
            <v>Mutton</v>
          </cell>
          <cell r="D17" t="str">
            <v>Mutton</v>
          </cell>
          <cell r="E17" t="str">
            <v>1 kgm</v>
          </cell>
          <cell r="F17" t="str">
            <v>Shillings</v>
          </cell>
          <cell r="G17"/>
        </row>
        <row r="18">
          <cell r="A18">
            <v>1010</v>
          </cell>
          <cell r="B18" t="str">
            <v>MBARARA CITY MODERN ABATTOIR-RUTI</v>
          </cell>
          <cell r="C18" t="str">
            <v>Beef</v>
          </cell>
          <cell r="D18" t="str">
            <v>Beef</v>
          </cell>
          <cell r="E18" t="str">
            <v>1 kgm</v>
          </cell>
          <cell r="F18" t="str">
            <v>Shillings</v>
          </cell>
          <cell r="G18"/>
        </row>
        <row r="19">
          <cell r="A19">
            <v>1010</v>
          </cell>
          <cell r="B19" t="str">
            <v>MBARARA CITY MODERN ABATTOIR-RUTI</v>
          </cell>
          <cell r="C19" t="str">
            <v>Goat</v>
          </cell>
          <cell r="D19" t="str">
            <v>Goat</v>
          </cell>
          <cell r="E19" t="str">
            <v>1 kgm</v>
          </cell>
          <cell r="F19" t="str">
            <v>Shillings</v>
          </cell>
          <cell r="G19"/>
        </row>
        <row r="20">
          <cell r="A20">
            <v>1010</v>
          </cell>
          <cell r="B20" t="str">
            <v>MBARARA CITY MODERN ABATTOIR-RUTI</v>
          </cell>
          <cell r="C20" t="str">
            <v>Mutton</v>
          </cell>
          <cell r="D20" t="str">
            <v>Mutton</v>
          </cell>
          <cell r="E20" t="str">
            <v>1 kgm</v>
          </cell>
          <cell r="F20" t="str">
            <v>Shillings</v>
          </cell>
          <cell r="G20"/>
        </row>
        <row r="21">
          <cell r="A21">
            <v>1010</v>
          </cell>
          <cell r="B21" t="str">
            <v>KAMPALA CITY ABATTOIR -INDUSTRIAL AREA</v>
          </cell>
          <cell r="C21" t="str">
            <v>BEEF</v>
          </cell>
          <cell r="D21" t="str">
            <v>BEEF</v>
          </cell>
          <cell r="E21" t="str">
            <v>1 kgm</v>
          </cell>
          <cell r="F21" t="str">
            <v>Shillings</v>
          </cell>
          <cell r="G21"/>
        </row>
        <row r="22">
          <cell r="A22">
            <v>1010</v>
          </cell>
          <cell r="B22" t="str">
            <v>KAMPALA CITY ABATTOIR -INDUSTRIAL AREA</v>
          </cell>
          <cell r="C22" t="str">
            <v>Goats Meat</v>
          </cell>
          <cell r="D22" t="str">
            <v>Goats Meat</v>
          </cell>
          <cell r="E22" t="str">
            <v>1 kgm</v>
          </cell>
          <cell r="F22" t="str">
            <v>Shillings</v>
          </cell>
          <cell r="G22"/>
        </row>
        <row r="23">
          <cell r="A23">
            <v>1010</v>
          </cell>
          <cell r="B23" t="str">
            <v>KAMPALA CITY ABATTOIR -INDUSTRIAL AREA</v>
          </cell>
          <cell r="C23" t="str">
            <v>Offals</v>
          </cell>
          <cell r="D23" t="str">
            <v xml:space="preserve">Offals </v>
          </cell>
          <cell r="E23" t="str">
            <v>1 kgm</v>
          </cell>
          <cell r="F23" t="str">
            <v>Shillings</v>
          </cell>
          <cell r="G23"/>
        </row>
        <row r="24">
          <cell r="A24">
            <v>1010</v>
          </cell>
          <cell r="B24" t="str">
            <v>KAMPALA CITY ABATTOIR -INDUSTRIAL AREA</v>
          </cell>
          <cell r="C24" t="str">
            <v>Hooves</v>
          </cell>
          <cell r="D24" t="str">
            <v>Hooves</v>
          </cell>
          <cell r="E24" t="str">
            <v>1 kgm</v>
          </cell>
          <cell r="F24" t="str">
            <v>Shillings</v>
          </cell>
          <cell r="G24"/>
        </row>
        <row r="25">
          <cell r="A25">
            <v>1010</v>
          </cell>
          <cell r="B25" t="str">
            <v>KALERWE ABATTOIR</v>
          </cell>
          <cell r="C25" t="str">
            <v>Beef</v>
          </cell>
          <cell r="D25" t="str">
            <v>Beef</v>
          </cell>
          <cell r="E25" t="str">
            <v>1 kgm</v>
          </cell>
          <cell r="F25" t="str">
            <v>Shillings</v>
          </cell>
          <cell r="G25"/>
        </row>
        <row r="26">
          <cell r="A26">
            <v>1010</v>
          </cell>
          <cell r="B26" t="str">
            <v>KALERWE ABATTOIR</v>
          </cell>
          <cell r="C26" t="str">
            <v>SHOATS</v>
          </cell>
          <cell r="D26" t="str">
            <v>SHOATS</v>
          </cell>
          <cell r="E26" t="str">
            <v>1 kgm</v>
          </cell>
          <cell r="F26" t="str">
            <v>Shillings</v>
          </cell>
          <cell r="G26"/>
        </row>
        <row r="27">
          <cell r="A27">
            <v>1010</v>
          </cell>
          <cell r="B27" t="str">
            <v>MASAKA CITY ABATTOIR</v>
          </cell>
          <cell r="C27" t="str">
            <v>Beef</v>
          </cell>
          <cell r="D27" t="str">
            <v>Beef</v>
          </cell>
          <cell r="E27" t="str">
            <v>1 kgm</v>
          </cell>
          <cell r="F27" t="str">
            <v>Shillings</v>
          </cell>
          <cell r="G27"/>
        </row>
        <row r="28">
          <cell r="A28">
            <v>1010</v>
          </cell>
          <cell r="B28" t="str">
            <v>MASAKA CITY ABATTOIR</v>
          </cell>
          <cell r="C28" t="str">
            <v>SHOATS</v>
          </cell>
          <cell r="D28" t="str">
            <v>SHOATS</v>
          </cell>
          <cell r="E28" t="str">
            <v>1 kgm</v>
          </cell>
          <cell r="F28" t="str">
            <v>Shillings</v>
          </cell>
          <cell r="G28"/>
        </row>
        <row r="29">
          <cell r="A29"/>
          <cell r="F29"/>
          <cell r="G29"/>
        </row>
        <row r="30">
          <cell r="A30" t="str">
            <v>1020</v>
          </cell>
          <cell r="B30" t="str">
            <v>Processing and preserving of fish, crustaceans and molluscs</v>
          </cell>
          <cell r="F30" t="str">
            <v>Index</v>
          </cell>
          <cell r="G30">
            <v>34.872956815671998</v>
          </cell>
        </row>
        <row r="31">
          <cell r="A31" t="str">
            <v>1020</v>
          </cell>
          <cell r="B31" t="str">
            <v xml:space="preserve"> Processing and preserving of fish, crustaceans and molluscs</v>
          </cell>
          <cell r="F31" t="str">
            <v>Geomean</v>
          </cell>
          <cell r="G31"/>
        </row>
        <row r="32">
          <cell r="A32" t="str">
            <v>1020</v>
          </cell>
          <cell r="B32" t="str">
            <v>FRESH PERCH</v>
          </cell>
          <cell r="C32" t="str">
            <v>Nile Perch</v>
          </cell>
          <cell r="D32" t="str">
            <v>Frozen Nile perch fillets</v>
          </cell>
          <cell r="E32" t="str">
            <v>I kg packet</v>
          </cell>
          <cell r="F32" t="str">
            <v>Shillings</v>
          </cell>
          <cell r="G32"/>
        </row>
        <row r="33">
          <cell r="A33" t="str">
            <v>1020</v>
          </cell>
          <cell r="B33" t="str">
            <v>FRESH PERCH</v>
          </cell>
          <cell r="C33" t="str">
            <v>Nile Perch</v>
          </cell>
          <cell r="D33" t="str">
            <v>Frozen Nile perch steaks</v>
          </cell>
          <cell r="E33" t="str">
            <v>I kg packet</v>
          </cell>
          <cell r="F33" t="str">
            <v>Shillings</v>
          </cell>
          <cell r="G33"/>
        </row>
        <row r="34">
          <cell r="A34" t="str">
            <v>1020</v>
          </cell>
          <cell r="B34" t="str">
            <v>FRESH PERCH</v>
          </cell>
          <cell r="C34" t="str">
            <v>Nile Perch</v>
          </cell>
          <cell r="D34" t="str">
            <v>Frozen Nile perch cubes</v>
          </cell>
          <cell r="E34" t="str">
            <v>I kg packet</v>
          </cell>
          <cell r="F34" t="str">
            <v>Shillings</v>
          </cell>
          <cell r="G34"/>
        </row>
        <row r="35">
          <cell r="A35" t="str">
            <v>1020</v>
          </cell>
          <cell r="B35" t="str">
            <v>FRESH PERCH</v>
          </cell>
          <cell r="C35" t="str">
            <v>Tilapia</v>
          </cell>
          <cell r="D35" t="str">
            <v>Tilapia Fillets</v>
          </cell>
          <cell r="E35" t="str">
            <v>I kg packet</v>
          </cell>
          <cell r="F35" t="str">
            <v>Shillings</v>
          </cell>
          <cell r="G35"/>
        </row>
        <row r="36">
          <cell r="A36" t="str">
            <v>1020</v>
          </cell>
          <cell r="B36" t="str">
            <v>FRESH PERCH</v>
          </cell>
          <cell r="C36" t="str">
            <v>Tilapia</v>
          </cell>
          <cell r="D36" t="str">
            <v>Tilapia steaks</v>
          </cell>
          <cell r="E36" t="str">
            <v>I kg packet</v>
          </cell>
          <cell r="F36" t="str">
            <v>Shillings</v>
          </cell>
          <cell r="G36"/>
        </row>
        <row r="37">
          <cell r="A37" t="str">
            <v>1020</v>
          </cell>
          <cell r="B37" t="str">
            <v>FRESH PERCH</v>
          </cell>
          <cell r="C37" t="str">
            <v>Tilapia</v>
          </cell>
          <cell r="D37" t="str">
            <v>Tilapia whole fish</v>
          </cell>
          <cell r="E37" t="str">
            <v>I kg packet</v>
          </cell>
          <cell r="F37" t="str">
            <v>Shillings</v>
          </cell>
          <cell r="G37"/>
        </row>
        <row r="38">
          <cell r="A38" t="str">
            <v>1020</v>
          </cell>
          <cell r="B38" t="str">
            <v>NAKASERO</v>
          </cell>
          <cell r="C38" t="str">
            <v>Smoked Tilapia</v>
          </cell>
          <cell r="D38" t="str">
            <v>Smoked Tilapia</v>
          </cell>
          <cell r="E38" t="str">
            <v>1000 Gramme(s)</v>
          </cell>
          <cell r="F38" t="str">
            <v>Shillings</v>
          </cell>
          <cell r="G38"/>
        </row>
        <row r="39">
          <cell r="A39" t="str">
            <v>1020</v>
          </cell>
          <cell r="B39" t="str">
            <v>KITINTALE</v>
          </cell>
          <cell r="C39" t="str">
            <v>Smoked Tilapia</v>
          </cell>
          <cell r="D39" t="str">
            <v>Smoked Tilapia</v>
          </cell>
          <cell r="E39" t="str">
            <v>1000 Gramme(s)</v>
          </cell>
          <cell r="F39" t="str">
            <v>Shillings</v>
          </cell>
          <cell r="G39"/>
        </row>
        <row r="40">
          <cell r="A40" t="str">
            <v>1020</v>
          </cell>
          <cell r="B40" t="str">
            <v>BUGOLOBI</v>
          </cell>
          <cell r="C40" t="str">
            <v>Smoked Tilapia</v>
          </cell>
          <cell r="D40" t="str">
            <v>Smoked Tilapia</v>
          </cell>
          <cell r="E40" t="str">
            <v>1000 Gramme(s)</v>
          </cell>
          <cell r="F40" t="str">
            <v>Shillings</v>
          </cell>
          <cell r="G40"/>
        </row>
        <row r="41">
          <cell r="A41" t="str">
            <v>1020</v>
          </cell>
          <cell r="B41" t="str">
            <v>KIBUYE</v>
          </cell>
          <cell r="C41" t="str">
            <v>Fish-Dry-Nile perch</v>
          </cell>
          <cell r="D41" t="str">
            <v>Fish-Dry-Nile perch</v>
          </cell>
          <cell r="E41" t="str">
            <v>1 Kilogramme(s)</v>
          </cell>
          <cell r="F41" t="str">
            <v>Shillings</v>
          </cell>
          <cell r="G41"/>
        </row>
        <row r="42">
          <cell r="A42" t="str">
            <v>1020</v>
          </cell>
          <cell r="B42" t="str">
            <v>ST. BALIKUDDEMBE</v>
          </cell>
          <cell r="C42" t="str">
            <v>Fish-Dry-Nile perch</v>
          </cell>
          <cell r="D42" t="str">
            <v>Fish-Dry-Nile perch</v>
          </cell>
          <cell r="E42" t="str">
            <v>1 Kilogramme(s)</v>
          </cell>
          <cell r="F42" t="str">
            <v>Shillings</v>
          </cell>
          <cell r="G42"/>
        </row>
        <row r="43">
          <cell r="A43" t="str">
            <v>1020</v>
          </cell>
          <cell r="B43" t="str">
            <v>NAKULABYE</v>
          </cell>
          <cell r="C43" t="str">
            <v>Fish-Dry-Nile perch</v>
          </cell>
          <cell r="D43" t="str">
            <v>Fish-Dry-Nile perch</v>
          </cell>
          <cell r="E43" t="str">
            <v>1 Kilogramme(s)</v>
          </cell>
          <cell r="F43" t="str">
            <v>Shillings</v>
          </cell>
          <cell r="G43"/>
        </row>
        <row r="44">
          <cell r="A44" t="str">
            <v>1020</v>
          </cell>
          <cell r="B44" t="str">
            <v>BAITA</v>
          </cell>
          <cell r="C44" t="str">
            <v>Fish-Dry-Nile perch</v>
          </cell>
          <cell r="D44" t="str">
            <v>Fish-Dry-Nile perch</v>
          </cell>
          <cell r="E44" t="str">
            <v>1 Kilogramme(s)</v>
          </cell>
          <cell r="F44" t="str">
            <v>Shillings</v>
          </cell>
          <cell r="G44"/>
        </row>
        <row r="45">
          <cell r="A45" t="str">
            <v>1020</v>
          </cell>
          <cell r="B45" t="str">
            <v>BWAISE</v>
          </cell>
          <cell r="C45" t="str">
            <v>Fish-Dry-Nile perch</v>
          </cell>
          <cell r="D45" t="str">
            <v>Fish-Dry-Nile perch</v>
          </cell>
          <cell r="E45" t="str">
            <v>1 Kilogramme(s)</v>
          </cell>
          <cell r="F45" t="str">
            <v>Shillings</v>
          </cell>
          <cell r="G45"/>
        </row>
        <row r="46">
          <cell r="A46" t="str">
            <v>1020</v>
          </cell>
          <cell r="B46" t="str">
            <v>KIBUYE</v>
          </cell>
          <cell r="C46" t="str">
            <v>Fish-Dry-Tilapia</v>
          </cell>
          <cell r="D46" t="str">
            <v>Fish-Dry-Tilapia</v>
          </cell>
          <cell r="E46" t="str">
            <v>1 Kilogramme(s)</v>
          </cell>
          <cell r="F46" t="str">
            <v>Shillings</v>
          </cell>
          <cell r="G46"/>
        </row>
        <row r="47">
          <cell r="A47" t="str">
            <v>1020</v>
          </cell>
          <cell r="B47" t="str">
            <v>ST. BALIKUDDEMBE</v>
          </cell>
          <cell r="C47" t="str">
            <v>Fish-Dry-Tilapia</v>
          </cell>
          <cell r="D47" t="str">
            <v>Fish-Dry-Tilapia</v>
          </cell>
          <cell r="E47" t="str">
            <v>1 Kilogramme(s)</v>
          </cell>
          <cell r="F47" t="str">
            <v>Shillings</v>
          </cell>
          <cell r="G47"/>
        </row>
        <row r="48">
          <cell r="A48" t="str">
            <v>1020</v>
          </cell>
          <cell r="B48" t="str">
            <v>NAKULABYE</v>
          </cell>
          <cell r="C48" t="str">
            <v>Fish-Dry-Tilapia</v>
          </cell>
          <cell r="D48" t="str">
            <v>Fish-Dry-Tilapia</v>
          </cell>
          <cell r="E48" t="str">
            <v>1 Kilogramme(s)</v>
          </cell>
          <cell r="F48" t="str">
            <v>Shillings</v>
          </cell>
          <cell r="G48"/>
        </row>
        <row r="49">
          <cell r="A49" t="str">
            <v>1020</v>
          </cell>
          <cell r="B49" t="str">
            <v>BAITA</v>
          </cell>
          <cell r="C49" t="str">
            <v>Fish-Dry-Tilapia</v>
          </cell>
          <cell r="D49" t="str">
            <v>Fish-Dry-Tilapia</v>
          </cell>
          <cell r="E49" t="str">
            <v>1 Kilogramme(s)</v>
          </cell>
          <cell r="F49" t="str">
            <v>Shillings</v>
          </cell>
          <cell r="G49"/>
        </row>
        <row r="50">
          <cell r="A50" t="str">
            <v>1020</v>
          </cell>
          <cell r="B50" t="str">
            <v>BWAISE</v>
          </cell>
          <cell r="C50" t="str">
            <v>Fish-Dry-Tilapia</v>
          </cell>
          <cell r="D50" t="str">
            <v>Fish-Dry-Tilapia</v>
          </cell>
          <cell r="E50" t="str">
            <v>1 Kilogramme(s)</v>
          </cell>
          <cell r="F50" t="str">
            <v>Shillings</v>
          </cell>
          <cell r="G50"/>
        </row>
        <row r="51">
          <cell r="A51"/>
          <cell r="D51"/>
          <cell r="F51"/>
          <cell r="G51"/>
        </row>
        <row r="52">
          <cell r="A52">
            <v>1030</v>
          </cell>
          <cell r="B52" t="str">
            <v xml:space="preserve"> Processing and preserving of fruit and vegetables</v>
          </cell>
          <cell r="C52"/>
          <cell r="D52"/>
          <cell r="E52"/>
          <cell r="F52"/>
          <cell r="G52">
            <v>17.242749016877699</v>
          </cell>
        </row>
        <row r="53">
          <cell r="A53">
            <v>1030</v>
          </cell>
          <cell r="B53" t="str">
            <v xml:space="preserve"> Processing and preserving of fruit and vegetables</v>
          </cell>
          <cell r="C53"/>
          <cell r="D53"/>
          <cell r="E53"/>
          <cell r="F53" t="str">
            <v>Geomean</v>
          </cell>
          <cell r="G53"/>
        </row>
        <row r="54">
          <cell r="A54">
            <v>1030</v>
          </cell>
          <cell r="B54" t="str">
            <v>PSALMS FOOD INDUSTRIES LIMITED</v>
          </cell>
          <cell r="C54" t="str">
            <v>Irish products</v>
          </cell>
          <cell r="D54" t="str">
            <v>SUMZ Crisps (40 gms)</v>
          </cell>
          <cell r="E54" t="str">
            <v>grams</v>
          </cell>
          <cell r="F54" t="str">
            <v>Shillings</v>
          </cell>
          <cell r="G54"/>
        </row>
        <row r="55">
          <cell r="A55">
            <v>1030</v>
          </cell>
          <cell r="B55" t="str">
            <v>PSALMS FOOD INDUSTRIES LIMITED</v>
          </cell>
          <cell r="C55" t="str">
            <v>Irish products</v>
          </cell>
          <cell r="D55" t="str">
            <v>SUMZCrisps (80 gms)</v>
          </cell>
          <cell r="E55" t="str">
            <v>grams</v>
          </cell>
          <cell r="F55" t="str">
            <v>Shillings</v>
          </cell>
          <cell r="G55"/>
        </row>
        <row r="56">
          <cell r="A56">
            <v>1030</v>
          </cell>
          <cell r="B56" t="str">
            <v>NEGONJA ORGANIC LIMITED</v>
          </cell>
          <cell r="C56" t="str">
            <v>Dried Pineapple</v>
          </cell>
          <cell r="D56" t="str">
            <v xml:space="preserve">Moringa Hibscus </v>
          </cell>
          <cell r="E56" t="str">
            <v>grams</v>
          </cell>
          <cell r="F56" t="str">
            <v>DOLLARS</v>
          </cell>
          <cell r="G56"/>
        </row>
        <row r="57">
          <cell r="A57">
            <v>1030</v>
          </cell>
          <cell r="B57" t="str">
            <v>NEGONJA ORGANIC LIMITED</v>
          </cell>
          <cell r="C57" t="str">
            <v>Dried Pineapple</v>
          </cell>
          <cell r="D57" t="str">
            <v>Coconut Dried Pineapple</v>
          </cell>
          <cell r="E57" t="str">
            <v>grams</v>
          </cell>
          <cell r="F57" t="str">
            <v>DOLLARS</v>
          </cell>
          <cell r="G57"/>
        </row>
        <row r="58">
          <cell r="A58">
            <v>1030</v>
          </cell>
          <cell r="B58" t="str">
            <v>NEGONJA ORGANIC LIMITED</v>
          </cell>
          <cell r="C58" t="str">
            <v>Dried Pineapple</v>
          </cell>
          <cell r="D58" t="str">
            <v>Plain Dried Pineapple</v>
          </cell>
          <cell r="E58" t="str">
            <v>grams</v>
          </cell>
          <cell r="F58" t="str">
            <v>DOLLARS</v>
          </cell>
          <cell r="G58"/>
        </row>
        <row r="59">
          <cell r="A59">
            <v>1030</v>
          </cell>
          <cell r="B59" t="str">
            <v>NEGONJA ORGANIC LIMITED</v>
          </cell>
          <cell r="C59" t="str">
            <v>Dried Jackfruit</v>
          </cell>
          <cell r="D59" t="str">
            <v>Ginger Lime Dried</v>
          </cell>
          <cell r="E59" t="str">
            <v>grams</v>
          </cell>
          <cell r="F59" t="str">
            <v>DOLLARS</v>
          </cell>
          <cell r="G59"/>
        </row>
        <row r="60">
          <cell r="A60">
            <v>1030</v>
          </cell>
          <cell r="B60" t="str">
            <v>NEGONJA ORGANIC LIMITED</v>
          </cell>
          <cell r="C60" t="str">
            <v>Dried Jackfruit</v>
          </cell>
          <cell r="D60" t="str">
            <v>Ginger Tumeric Dried</v>
          </cell>
          <cell r="E60" t="str">
            <v>grams</v>
          </cell>
          <cell r="F60" t="str">
            <v>DOLLARS</v>
          </cell>
          <cell r="G60"/>
        </row>
        <row r="61">
          <cell r="A61">
            <v>1030</v>
          </cell>
          <cell r="B61" t="str">
            <v>NEGONJA ORGANIC LIMITED</v>
          </cell>
          <cell r="C61" t="str">
            <v>Dried Jackfruit</v>
          </cell>
          <cell r="D61" t="str">
            <v>Chilli Lime Dried Jackfruit</v>
          </cell>
          <cell r="E61" t="str">
            <v>grams</v>
          </cell>
          <cell r="F61" t="str">
            <v>DOLLARS</v>
          </cell>
          <cell r="G61"/>
        </row>
        <row r="62">
          <cell r="A62">
            <v>1030</v>
          </cell>
          <cell r="B62" t="str">
            <v>NEGONJA ORGANIC LIMITED</v>
          </cell>
          <cell r="C62" t="str">
            <v>Dried Jackfruit</v>
          </cell>
          <cell r="D62" t="str">
            <v>Plain Jackfruit Bulk</v>
          </cell>
          <cell r="E62" t="str">
            <v>grams</v>
          </cell>
          <cell r="F62" t="str">
            <v>DOLLARS</v>
          </cell>
          <cell r="G62"/>
        </row>
        <row r="63">
          <cell r="A63">
            <v>1030</v>
          </cell>
          <cell r="B63" t="str">
            <v>NEGONJA ORGANIC LIMITED</v>
          </cell>
          <cell r="C63" t="str">
            <v>Dried Plain</v>
          </cell>
          <cell r="D63" t="str">
            <v>Salted Olive Oil Plantain</v>
          </cell>
          <cell r="E63" t="str">
            <v>grams</v>
          </cell>
          <cell r="F63" t="str">
            <v>DOLLARS</v>
          </cell>
          <cell r="G63"/>
        </row>
        <row r="64">
          <cell r="A64">
            <v>1030</v>
          </cell>
          <cell r="B64" t="str">
            <v>NEGONJA ORGANIC LIMITED</v>
          </cell>
          <cell r="C64" t="str">
            <v>Dried Plantain</v>
          </cell>
          <cell r="D64" t="str">
            <v>Chilli Spiced Plantain Chips</v>
          </cell>
          <cell r="E64" t="str">
            <v>grams</v>
          </cell>
          <cell r="F64" t="str">
            <v>DOLLARS</v>
          </cell>
          <cell r="G64"/>
        </row>
        <row r="65">
          <cell r="A65">
            <v>1030</v>
          </cell>
          <cell r="B65" t="str">
            <v>NEGONJA ORGANIC LIMITED</v>
          </cell>
          <cell r="C65" t="str">
            <v>Dried Plantain</v>
          </cell>
          <cell r="D65" t="str">
            <v>Bulk Plantain Chips</v>
          </cell>
          <cell r="E65" t="str">
            <v>grams</v>
          </cell>
          <cell r="F65" t="str">
            <v>DOLLARS</v>
          </cell>
          <cell r="G65"/>
        </row>
        <row r="66">
          <cell r="A66"/>
          <cell r="B66"/>
          <cell r="C66"/>
          <cell r="D66"/>
          <cell r="E66"/>
          <cell r="F66"/>
          <cell r="G66"/>
        </row>
        <row r="67">
          <cell r="A67" t="str">
            <v>1040</v>
          </cell>
          <cell r="B67" t="str">
            <v xml:space="preserve"> Manufacture of vegetable and animal oils and fats</v>
          </cell>
          <cell r="F67" t="str">
            <v>Index</v>
          </cell>
          <cell r="G67">
            <v>49.132836897778702</v>
          </cell>
        </row>
        <row r="68">
          <cell r="A68" t="str">
            <v>1040</v>
          </cell>
          <cell r="B68" t="str">
            <v xml:space="preserve"> Manufacture of vegetable and animal oils and fats</v>
          </cell>
          <cell r="D68"/>
          <cell r="E68"/>
          <cell r="F68" t="str">
            <v>Geomean</v>
          </cell>
          <cell r="G68"/>
        </row>
        <row r="69">
          <cell r="A69">
            <v>1040</v>
          </cell>
          <cell r="B69" t="str">
            <v>BIDCO (U) LIMITED</v>
          </cell>
          <cell r="C69" t="str">
            <v>Cowboy 24 pcs of 500gms</v>
          </cell>
          <cell r="D69" t="str">
            <v>Yelloe solid cooking fat</v>
          </cell>
          <cell r="E69" t="str">
            <v>carton 24 pieces</v>
          </cell>
          <cell r="F69" t="str">
            <v>Shillings</v>
          </cell>
          <cell r="G69"/>
        </row>
        <row r="70">
          <cell r="A70">
            <v>1040</v>
          </cell>
          <cell r="B70" t="str">
            <v>BIDCO (U) LIMITED</v>
          </cell>
          <cell r="C70" t="str">
            <v>Fortune 20 litre Jerican</v>
          </cell>
          <cell r="D70" t="str">
            <v>Fortune 20 litre Jerican</v>
          </cell>
          <cell r="E70" t="str">
            <v>Jerrycan of 20 litres</v>
          </cell>
          <cell r="F70" t="str">
            <v>Shillings</v>
          </cell>
          <cell r="G70"/>
        </row>
        <row r="71">
          <cell r="A71">
            <v>1040</v>
          </cell>
          <cell r="B71" t="str">
            <v>BIDCO (U) LIMITED</v>
          </cell>
          <cell r="C71" t="str">
            <v>Golden Fry 20 litre Jerican</v>
          </cell>
          <cell r="D71" t="str">
            <v>Golden Fry 20 litre Jerican</v>
          </cell>
          <cell r="E71" t="str">
            <v>Jerrycan of 20 litres</v>
          </cell>
          <cell r="F71" t="str">
            <v>Shillings</v>
          </cell>
          <cell r="G71"/>
        </row>
        <row r="72">
          <cell r="A72">
            <v>1040</v>
          </cell>
          <cell r="B72" t="str">
            <v>BIDCO (U) LIMITED</v>
          </cell>
          <cell r="C72" t="str">
            <v>Cooking Oil Fortune (10 litre)</v>
          </cell>
          <cell r="D72" t="str">
            <v>Cooking Oil(10 litre)</v>
          </cell>
          <cell r="E72" t="str">
            <v>10 Litre Jerican</v>
          </cell>
          <cell r="F72" t="str">
            <v>Shillings</v>
          </cell>
          <cell r="G72"/>
        </row>
        <row r="73">
          <cell r="A73">
            <v>1040</v>
          </cell>
          <cell r="B73" t="str">
            <v>BIDCO (U) LIMITED</v>
          </cell>
          <cell r="C73" t="str">
            <v>Cooking Oil(5 litre jerican)</v>
          </cell>
          <cell r="D73" t="str">
            <v>Cooking Oil (4*5 litre jerican)</v>
          </cell>
          <cell r="E73" t="str">
            <v>5 litre Jerican</v>
          </cell>
          <cell r="F73" t="str">
            <v>Shillings</v>
          </cell>
          <cell r="G73"/>
        </row>
        <row r="74">
          <cell r="A74">
            <v>1040</v>
          </cell>
          <cell r="B74" t="str">
            <v>BIDCO (U) LIMITED</v>
          </cell>
          <cell r="C74" t="str">
            <v>Kimbo 24 pcs of 500gms</v>
          </cell>
          <cell r="D74" t="str">
            <v>white solid ckg oil</v>
          </cell>
          <cell r="E74" t="str">
            <v>carton 24 pieces</v>
          </cell>
          <cell r="F74" t="str">
            <v>Shillings</v>
          </cell>
          <cell r="G74"/>
        </row>
        <row r="75">
          <cell r="A75">
            <v>1040</v>
          </cell>
          <cell r="B75" t="str">
            <v>NILE AGRO INDUSTRIES LIMITED</v>
          </cell>
          <cell r="C75" t="str">
            <v>Nile Vegetable Oil</v>
          </cell>
          <cell r="D75" t="str">
            <v>20 ltr Jerrican</v>
          </cell>
          <cell r="E75" t="str">
            <v>Piece</v>
          </cell>
          <cell r="F75" t="str">
            <v>Shillings</v>
          </cell>
          <cell r="G75"/>
        </row>
        <row r="76">
          <cell r="A76">
            <v>1040</v>
          </cell>
          <cell r="B76" t="str">
            <v>NILE AGRO INDUSTRIES LIMITED</v>
          </cell>
          <cell r="C76" t="str">
            <v>Nile Vegetable Oil</v>
          </cell>
          <cell r="D76" t="str">
            <v>10 ltr Jerrycan</v>
          </cell>
          <cell r="E76" t="str">
            <v>Piece</v>
          </cell>
          <cell r="F76" t="str">
            <v>Shillings</v>
          </cell>
          <cell r="G76"/>
        </row>
        <row r="77">
          <cell r="A77">
            <v>1040</v>
          </cell>
          <cell r="B77" t="str">
            <v>NILE AGRO INDUSTRIES LIMITED</v>
          </cell>
          <cell r="C77" t="str">
            <v>Nile Vegetable Oil-Sachets</v>
          </cell>
          <cell r="D77" t="str">
            <v>Nile Sachets (24X500ml)</v>
          </cell>
          <cell r="E77" t="str">
            <v>Sachet</v>
          </cell>
          <cell r="F77" t="str">
            <v>Shillings</v>
          </cell>
          <cell r="G77"/>
        </row>
        <row r="78">
          <cell r="A78">
            <v>1040</v>
          </cell>
          <cell r="B78" t="str">
            <v>NILE AGRO INDUSTRIES LIMITED</v>
          </cell>
          <cell r="C78" t="str">
            <v>Nile Vegetable Oil-Sachets</v>
          </cell>
          <cell r="D78" t="str">
            <v>Nile Sachets (12X1000ml)</v>
          </cell>
          <cell r="E78" t="str">
            <v>Sachet</v>
          </cell>
          <cell r="F78" t="str">
            <v>Shillings</v>
          </cell>
          <cell r="G78"/>
        </row>
        <row r="79">
          <cell r="A79">
            <v>1040</v>
          </cell>
          <cell r="B79" t="str">
            <v>MOUNT MERU MILLERS (U) LIMITED</v>
          </cell>
          <cell r="C79" t="str">
            <v>Sun-flower/Soya Oil</v>
          </cell>
          <cell r="D79" t="str">
            <v>Sun-flower/Soya Oil</v>
          </cell>
          <cell r="E79" t="str">
            <v>20 litre Jerrycan</v>
          </cell>
          <cell r="F79" t="str">
            <v>Shillings</v>
          </cell>
          <cell r="G79"/>
        </row>
        <row r="80">
          <cell r="A80">
            <v>1040</v>
          </cell>
          <cell r="B80" t="str">
            <v>MOUNT MERU MILLERS (U) LIMITED</v>
          </cell>
          <cell r="C80" t="str">
            <v>Sun-flower/Soya Oil</v>
          </cell>
          <cell r="D80" t="str">
            <v>Sun-flower/Soya Oil</v>
          </cell>
          <cell r="E80" t="str">
            <v>10 litre Jerrycan</v>
          </cell>
          <cell r="F80" t="str">
            <v>Shillings</v>
          </cell>
          <cell r="G80"/>
        </row>
        <row r="81">
          <cell r="A81">
            <v>1040</v>
          </cell>
          <cell r="B81" t="str">
            <v>JONISA INVESTMENTS LIMITED</v>
          </cell>
          <cell r="C81" t="str">
            <v>Crude oil</v>
          </cell>
          <cell r="D81" t="str">
            <v>Crude oil (20 litre Jerrican)</v>
          </cell>
          <cell r="E81" t="str">
            <v>20 litre Jerrican/ 17 kgs</v>
          </cell>
          <cell r="F81" t="str">
            <v>Shillings</v>
          </cell>
          <cell r="G81"/>
        </row>
        <row r="82">
          <cell r="A82">
            <v>1040</v>
          </cell>
          <cell r="B82" t="str">
            <v>JONISA INVESTMENTS LIMITED</v>
          </cell>
          <cell r="C82" t="str">
            <v>Sunflower cooking oil</v>
          </cell>
          <cell r="D82" t="str">
            <v>Sunflower cooking oil ( 20 litre Jerrican)</v>
          </cell>
          <cell r="E82" t="str">
            <v>20 litre Jerrican</v>
          </cell>
          <cell r="F82" t="str">
            <v>Shillings</v>
          </cell>
          <cell r="G82"/>
        </row>
        <row r="83">
          <cell r="A83"/>
          <cell r="B83"/>
          <cell r="G83"/>
        </row>
        <row r="84">
          <cell r="A84" t="str">
            <v>1050</v>
          </cell>
          <cell r="B84" t="str">
            <v xml:space="preserve"> Manufacture of dairy products</v>
          </cell>
          <cell r="D84" t="str">
            <v>Crisma (40 gms)</v>
          </cell>
          <cell r="F84" t="str">
            <v>Index</v>
          </cell>
          <cell r="G84">
            <v>9.8202956193448294</v>
          </cell>
        </row>
        <row r="85">
          <cell r="A85" t="str">
            <v>1050</v>
          </cell>
          <cell r="B85" t="str">
            <v xml:space="preserve"> Manufacture of dairy products</v>
          </cell>
          <cell r="D85" t="str">
            <v>Crisma (40 gms)</v>
          </cell>
          <cell r="E85"/>
          <cell r="F85" t="str">
            <v>Geomean</v>
          </cell>
          <cell r="G85"/>
        </row>
        <row r="86">
          <cell r="A86">
            <v>1050</v>
          </cell>
          <cell r="B86" t="str">
            <v>BROOKSIDE</v>
          </cell>
          <cell r="C86" t="str">
            <v>Yoghurt</v>
          </cell>
          <cell r="D86" t="str">
            <v>Pouch Yoghurt (400g)</v>
          </cell>
          <cell r="E86" t="str">
            <v>per piece</v>
          </cell>
          <cell r="F86" t="str">
            <v>Shillings</v>
          </cell>
          <cell r="G86"/>
        </row>
        <row r="87">
          <cell r="A87">
            <v>1050</v>
          </cell>
          <cell r="B87" t="str">
            <v>BROOKSIDE</v>
          </cell>
          <cell r="C87" t="str">
            <v>Yoghurt</v>
          </cell>
          <cell r="D87" t="str">
            <v>Cap yoghurt (450g)</v>
          </cell>
          <cell r="E87" t="str">
            <v>per piece</v>
          </cell>
          <cell r="F87" t="str">
            <v>Shillings</v>
          </cell>
          <cell r="G87"/>
        </row>
        <row r="88">
          <cell r="A88">
            <v>1050</v>
          </cell>
          <cell r="B88" t="str">
            <v>BROOKSIDE</v>
          </cell>
          <cell r="C88" t="str">
            <v>Yoghurt</v>
          </cell>
          <cell r="D88" t="str">
            <v>Fruit yoghurt (450g)</v>
          </cell>
          <cell r="E88" t="str">
            <v>per piece</v>
          </cell>
          <cell r="F88" t="str">
            <v>Shillings</v>
          </cell>
          <cell r="G88"/>
        </row>
        <row r="89">
          <cell r="A89">
            <v>1050</v>
          </cell>
          <cell r="B89" t="str">
            <v>BROOKSIDE</v>
          </cell>
          <cell r="C89" t="str">
            <v>UHT Long life</v>
          </cell>
          <cell r="D89" t="str">
            <v>Pouch 500ml</v>
          </cell>
          <cell r="E89" t="str">
            <v>per piece</v>
          </cell>
          <cell r="F89" t="str">
            <v>Shillings</v>
          </cell>
          <cell r="G89"/>
        </row>
        <row r="90">
          <cell r="A90">
            <v>1050</v>
          </cell>
          <cell r="B90" t="str">
            <v>BROOKSIDE</v>
          </cell>
          <cell r="C90" t="str">
            <v>UHT Long life</v>
          </cell>
          <cell r="D90" t="str">
            <v>Fino 500ml</v>
          </cell>
          <cell r="E90" t="str">
            <v>per piece</v>
          </cell>
          <cell r="F90" t="str">
            <v>Shillings</v>
          </cell>
          <cell r="G90"/>
        </row>
        <row r="91">
          <cell r="A91">
            <v>1050</v>
          </cell>
          <cell r="B91" t="str">
            <v>BROOKSIDE</v>
          </cell>
          <cell r="C91" t="str">
            <v>UHT Long life</v>
          </cell>
          <cell r="D91" t="str">
            <v>Brick 500ml</v>
          </cell>
          <cell r="E91" t="str">
            <v>per piece</v>
          </cell>
          <cell r="F91" t="str">
            <v>Shillings</v>
          </cell>
          <cell r="G91"/>
        </row>
        <row r="92">
          <cell r="A92">
            <v>1050</v>
          </cell>
          <cell r="B92" t="str">
            <v>BROOKSIDE</v>
          </cell>
          <cell r="C92" t="str">
            <v>UHT Long life</v>
          </cell>
          <cell r="D92" t="str">
            <v>Flavored milk 250ml</v>
          </cell>
          <cell r="E92" t="str">
            <v>per piece</v>
          </cell>
          <cell r="F92" t="str">
            <v>Shillings</v>
          </cell>
          <cell r="G92"/>
        </row>
        <row r="93">
          <cell r="A93">
            <v>1050</v>
          </cell>
          <cell r="B93" t="str">
            <v>BROOKSIDE</v>
          </cell>
          <cell r="C93" t="str">
            <v>Butter</v>
          </cell>
          <cell r="D93" t="str">
            <v>250g</v>
          </cell>
          <cell r="E93" t="str">
            <v>1 box</v>
          </cell>
          <cell r="F93" t="str">
            <v>Shillings</v>
          </cell>
          <cell r="G93"/>
        </row>
        <row r="94">
          <cell r="A94">
            <v>1050</v>
          </cell>
          <cell r="B94" t="str">
            <v>BROOKSIDE</v>
          </cell>
          <cell r="C94" t="str">
            <v>Butter</v>
          </cell>
          <cell r="D94" t="str">
            <v>5 kg</v>
          </cell>
          <cell r="E94" t="str">
            <v>carton of 5kg</v>
          </cell>
          <cell r="F94" t="str">
            <v>Shillings</v>
          </cell>
          <cell r="G94"/>
        </row>
        <row r="95">
          <cell r="A95">
            <v>1050</v>
          </cell>
          <cell r="B95" t="str">
            <v>BROOKSIDE</v>
          </cell>
          <cell r="C95" t="str">
            <v>Ghee</v>
          </cell>
          <cell r="D95" t="str">
            <v>1 litre</v>
          </cell>
          <cell r="E95" t="str">
            <v>A Tin</v>
          </cell>
          <cell r="F95" t="str">
            <v>Shillings</v>
          </cell>
          <cell r="G95"/>
        </row>
        <row r="96">
          <cell r="A96">
            <v>1050</v>
          </cell>
          <cell r="B96" t="str">
            <v>BROOKSIDE</v>
          </cell>
          <cell r="C96" t="str">
            <v>Ghee</v>
          </cell>
          <cell r="D96" t="str">
            <v>500ml</v>
          </cell>
          <cell r="E96" t="str">
            <v>A Tin</v>
          </cell>
          <cell r="F96" t="str">
            <v>Shillings</v>
          </cell>
          <cell r="G96"/>
        </row>
        <row r="97">
          <cell r="A97">
            <v>1050</v>
          </cell>
          <cell r="B97" t="str">
            <v>GBK PRODUCTION LIMITED</v>
          </cell>
          <cell r="C97" t="str">
            <v>Classic Yoghurt</v>
          </cell>
          <cell r="D97" t="str">
            <v>400 mls of yoghurt</v>
          </cell>
          <cell r="E97" t="str">
            <v>Carton of 20 packets</v>
          </cell>
          <cell r="F97" t="str">
            <v>Shillings</v>
          </cell>
          <cell r="G97"/>
        </row>
        <row r="98">
          <cell r="A98">
            <v>1050</v>
          </cell>
          <cell r="B98" t="str">
            <v>GBK PRODUCTION LIMITED</v>
          </cell>
          <cell r="C98" t="str">
            <v>Classic Yoghurt</v>
          </cell>
          <cell r="D98" t="str">
            <v>150 mls of Yoghurt</v>
          </cell>
          <cell r="E98" t="str">
            <v>Carton</v>
          </cell>
          <cell r="F98" t="str">
            <v>Shillings</v>
          </cell>
          <cell r="G98"/>
        </row>
        <row r="99">
          <cell r="A99">
            <v>1050</v>
          </cell>
          <cell r="B99" t="str">
            <v>GBK PRODUCTION LIMITED</v>
          </cell>
          <cell r="C99" t="str">
            <v>Classic (1/2lt)</v>
          </cell>
          <cell r="D99" t="str">
            <v>Classic (1/2lt)</v>
          </cell>
          <cell r="E99" t="str">
            <v>Box (24 packets @ 500ml)</v>
          </cell>
          <cell r="F99" t="str">
            <v>Shillings</v>
          </cell>
          <cell r="G99"/>
        </row>
        <row r="100">
          <cell r="A100" t="str">
            <v>1050</v>
          </cell>
          <cell r="B100" t="str">
            <v>LAKE SIDE DAIRY LIMITED</v>
          </cell>
          <cell r="C100" t="str">
            <v>Dairy top yoghurt</v>
          </cell>
          <cell r="D100" t="str">
            <v>yoghurt strawberry(500g)</v>
          </cell>
          <cell r="E100" t="str">
            <v>kg</v>
          </cell>
          <cell r="F100" t="str">
            <v>Shillings</v>
          </cell>
          <cell r="G100"/>
        </row>
        <row r="101">
          <cell r="A101" t="str">
            <v>1050</v>
          </cell>
          <cell r="B101" t="str">
            <v>LAKE SIDE DAIRY LIMITED</v>
          </cell>
          <cell r="C101" t="str">
            <v>Dairy top yoghurt</v>
          </cell>
          <cell r="D101" t="str">
            <v>yoghurt strawberry(400g)</v>
          </cell>
          <cell r="E101" t="str">
            <v>kg</v>
          </cell>
          <cell r="F101" t="str">
            <v>Shillings</v>
          </cell>
          <cell r="G101"/>
        </row>
        <row r="102">
          <cell r="A102" t="str">
            <v>1050</v>
          </cell>
          <cell r="B102" t="str">
            <v>LAKE SIDE DAIRY LIMITED</v>
          </cell>
          <cell r="C102" t="str">
            <v>Dairy top yoghurt</v>
          </cell>
          <cell r="D102" t="str">
            <v>yoghurt strawberry(250g)</v>
          </cell>
          <cell r="E102" t="str">
            <v>kg</v>
          </cell>
          <cell r="F102" t="str">
            <v>Shillings</v>
          </cell>
          <cell r="G102"/>
        </row>
        <row r="103">
          <cell r="A103" t="str">
            <v>1050</v>
          </cell>
          <cell r="B103" t="str">
            <v>LAKE SIDE DAIRY LIMITED</v>
          </cell>
          <cell r="C103" t="str">
            <v>Milk (UHT)</v>
          </cell>
          <cell r="D103" t="str">
            <v>uht milk fino 500mls</v>
          </cell>
          <cell r="E103" t="str">
            <v>1 carton</v>
          </cell>
          <cell r="F103" t="str">
            <v>Shillings</v>
          </cell>
          <cell r="G103"/>
        </row>
        <row r="104">
          <cell r="A104" t="str">
            <v>1050</v>
          </cell>
          <cell r="B104" t="str">
            <v>LAKE SIDE DAIRY LIMITED</v>
          </cell>
          <cell r="C104" t="str">
            <v>Cheese</v>
          </cell>
          <cell r="D104" t="str">
            <v>cheese 500g</v>
          </cell>
          <cell r="E104" t="str">
            <v>kg</v>
          </cell>
          <cell r="F104" t="str">
            <v>Shillings</v>
          </cell>
          <cell r="G104"/>
        </row>
        <row r="105">
          <cell r="A105" t="str">
            <v>1050</v>
          </cell>
          <cell r="B105" t="str">
            <v>LAKE SIDE DAIRY LIMITED</v>
          </cell>
          <cell r="C105" t="str">
            <v>Dodla plus esl milk</v>
          </cell>
          <cell r="D105" t="str">
            <v>Dodla plus ESL milk 250g</v>
          </cell>
          <cell r="E105" t="str">
            <v>1 carton</v>
          </cell>
          <cell r="F105" t="str">
            <v>Shillings</v>
          </cell>
          <cell r="G105"/>
        </row>
        <row r="106">
          <cell r="B106" t="str">
            <v>KIBUYE</v>
          </cell>
          <cell r="C106" t="str">
            <v>Milk, un-skimmed Pasteurized (JESA)</v>
          </cell>
          <cell r="D106" t="str">
            <v>Milk, un-skimmed Pasteurized (JESA)</v>
          </cell>
          <cell r="E106" t="str">
            <v>1 Litre</v>
          </cell>
          <cell r="G106"/>
        </row>
        <row r="107">
          <cell r="B107" t="str">
            <v>ST. BALIKUDDEMBE</v>
          </cell>
          <cell r="C107" t="str">
            <v>Milk, un-skimmed Pasteurized (JESA)</v>
          </cell>
          <cell r="D107" t="str">
            <v>Milk, un-skimmed Pasteurized (JESA)</v>
          </cell>
          <cell r="E107" t="str">
            <v>1 Litre</v>
          </cell>
          <cell r="G107"/>
        </row>
        <row r="108">
          <cell r="B108" t="str">
            <v>NAKULABYE</v>
          </cell>
          <cell r="C108" t="str">
            <v>Milk, un-skimmed Pasteurized (JESA)</v>
          </cell>
          <cell r="D108" t="str">
            <v>Milk, un-skimmed Pasteurized (JESA)</v>
          </cell>
          <cell r="E108" t="str">
            <v>1 Litre</v>
          </cell>
          <cell r="G108"/>
        </row>
        <row r="109">
          <cell r="B109" t="str">
            <v>BAITA</v>
          </cell>
          <cell r="C109" t="str">
            <v>Milk, un-skimmed Pasteurized (JESA)</v>
          </cell>
          <cell r="D109" t="str">
            <v>Milk, un-skimmed Pasteurized (JESA)</v>
          </cell>
          <cell r="E109" t="str">
            <v>1 Litre</v>
          </cell>
          <cell r="G109"/>
        </row>
        <row r="110">
          <cell r="B110" t="str">
            <v>BWAISE</v>
          </cell>
          <cell r="C110" t="str">
            <v>Milk, un-skimmed Pasteurized (JESA)</v>
          </cell>
          <cell r="D110" t="str">
            <v>Milk, un-skimmed Pasteurized (JESA)</v>
          </cell>
          <cell r="E110" t="str">
            <v>1 Litre</v>
          </cell>
          <cell r="G110"/>
        </row>
        <row r="111">
          <cell r="B111" t="str">
            <v>NAKASERO</v>
          </cell>
          <cell r="C111" t="str">
            <v>Milk, powdered - Nido</v>
          </cell>
          <cell r="D111" t="str">
            <v>Milk, powdered - Nido</v>
          </cell>
          <cell r="E111" t="str">
            <v>400Grammes</v>
          </cell>
          <cell r="G111"/>
        </row>
        <row r="112">
          <cell r="B112" t="str">
            <v>KITINTALE</v>
          </cell>
          <cell r="C112" t="str">
            <v>Milk, powdered - Nido</v>
          </cell>
          <cell r="D112" t="str">
            <v>Milk, powdered - Nido</v>
          </cell>
          <cell r="E112" t="str">
            <v>400Grammes</v>
          </cell>
          <cell r="G112"/>
        </row>
        <row r="113">
          <cell r="B113" t="str">
            <v>BUGOLOBI</v>
          </cell>
          <cell r="C113" t="str">
            <v>Milk, powdered - Nido</v>
          </cell>
          <cell r="D113" t="str">
            <v>Milk, powdered - Nido</v>
          </cell>
          <cell r="E113" t="str">
            <v>400Grammes</v>
          </cell>
          <cell r="G113"/>
        </row>
        <row r="114">
          <cell r="A114"/>
          <cell r="B114"/>
          <cell r="G114"/>
        </row>
        <row r="115">
          <cell r="B115" t="str">
            <v>Manufacture of grain mill products, starches and starch products</v>
          </cell>
          <cell r="F115" t="str">
            <v>Index</v>
          </cell>
          <cell r="G115">
            <v>67.623833253878402</v>
          </cell>
        </row>
        <row r="116">
          <cell r="A116" t="str">
            <v>1061</v>
          </cell>
          <cell r="B116" t="str">
            <v xml:space="preserve"> Manufacture of grain mill products</v>
          </cell>
          <cell r="D116"/>
          <cell r="F116" t="str">
            <v>Geomean</v>
          </cell>
        </row>
        <row r="117">
          <cell r="A117">
            <v>1061</v>
          </cell>
          <cell r="B117" t="str">
            <v>BAKHRESA GRAIN MILLING (U) LIMITED</v>
          </cell>
          <cell r="C117" t="str">
            <v>Home Baking Flour</v>
          </cell>
          <cell r="D117" t="str">
            <v>carton of 12 pkts @2kg</v>
          </cell>
          <cell r="E117" t="str">
            <v>24Kgs</v>
          </cell>
          <cell r="F117" t="str">
            <v>Shillings</v>
          </cell>
          <cell r="G117"/>
        </row>
        <row r="118">
          <cell r="A118">
            <v>1061</v>
          </cell>
          <cell r="B118" t="str">
            <v>BAKHRESA GRAIN MILLING (U) LIMITED</v>
          </cell>
          <cell r="C118" t="str">
            <v>Bakers Flour</v>
          </cell>
          <cell r="D118" t="str">
            <v>Bag of 50kg</v>
          </cell>
          <cell r="E118" t="str">
            <v>50Kg</v>
          </cell>
          <cell r="F118" t="str">
            <v>Shillings</v>
          </cell>
          <cell r="G118"/>
        </row>
        <row r="119">
          <cell r="A119">
            <v>1061</v>
          </cell>
          <cell r="B119" t="str">
            <v>ENGAANO MILLERS LIMITED</v>
          </cell>
          <cell r="C119" t="str">
            <v>Wheat Flour (Drum, White)</v>
          </cell>
          <cell r="D119" t="str">
            <v>Wheat Flour (Drum, White)</v>
          </cell>
          <cell r="E119" t="str">
            <v>50 Kg Sack</v>
          </cell>
          <cell r="F119" t="str">
            <v>Shillings</v>
          </cell>
          <cell r="G119"/>
        </row>
        <row r="120">
          <cell r="A120">
            <v>1061</v>
          </cell>
          <cell r="B120" t="str">
            <v>ENGAANO MILLERS LIMITED</v>
          </cell>
          <cell r="C120" t="str">
            <v>Wheat Flour</v>
          </cell>
          <cell r="D120" t="str">
            <v>Engaano flour (HBF)</v>
          </cell>
          <cell r="E120" t="str">
            <v>2KG PACKETS * 12 PCS</v>
          </cell>
          <cell r="F120" t="str">
            <v>Shillings</v>
          </cell>
          <cell r="G120"/>
        </row>
        <row r="121">
          <cell r="A121">
            <v>1061</v>
          </cell>
          <cell r="B121" t="str">
            <v>BAJABER MILLERS LIMITED</v>
          </cell>
          <cell r="C121" t="str">
            <v>Home Baking flour</v>
          </cell>
          <cell r="D121" t="str">
            <v>Home Baking Flour(25kgs)</v>
          </cell>
          <cell r="E121" t="str">
            <v>24kg (Carton)</v>
          </cell>
          <cell r="F121" t="str">
            <v>Shillings</v>
          </cell>
          <cell r="G121"/>
        </row>
        <row r="122">
          <cell r="A122">
            <v>1061</v>
          </cell>
          <cell r="B122" t="str">
            <v>BAJABER MILLERS LIMITED</v>
          </cell>
          <cell r="C122" t="str">
            <v>Home Baking flour</v>
          </cell>
          <cell r="D122" t="str">
            <v>Home Baking Flour(50kgs)</v>
          </cell>
          <cell r="E122" t="str">
            <v>Bag of 50kg</v>
          </cell>
          <cell r="F122" t="str">
            <v>Shillings</v>
          </cell>
          <cell r="G122"/>
        </row>
        <row r="123">
          <cell r="A123">
            <v>1061</v>
          </cell>
          <cell r="B123" t="str">
            <v>KIBIMBA LIMITED</v>
          </cell>
          <cell r="C123" t="str">
            <v>Whole Rice</v>
          </cell>
          <cell r="D123" t="str">
            <v>whitish product in grain form kilogram</v>
          </cell>
          <cell r="E123" t="str">
            <v>Kilogram</v>
          </cell>
          <cell r="F123" t="str">
            <v>Shillings</v>
          </cell>
          <cell r="G123"/>
        </row>
        <row r="124">
          <cell r="A124">
            <v>1061</v>
          </cell>
          <cell r="B124" t="str">
            <v>KIBIMBA LIMITED</v>
          </cell>
          <cell r="C124" t="str">
            <v>Broken Rice</v>
          </cell>
          <cell r="D124" t="str">
            <v>whitish grains in broken form kilogram</v>
          </cell>
          <cell r="E124" t="str">
            <v>Kilogram</v>
          </cell>
          <cell r="F124" t="str">
            <v>Shillings</v>
          </cell>
          <cell r="G124"/>
        </row>
        <row r="125">
          <cell r="A125">
            <v>1061</v>
          </cell>
          <cell r="B125" t="str">
            <v>MAGANJO GRAIN MILLERS LIMITED</v>
          </cell>
          <cell r="C125" t="str">
            <v>Maize Flour (5kg)</v>
          </cell>
          <cell r="D125" t="str">
            <v>Maize Flour (5kg)</v>
          </cell>
          <cell r="E125" t="str">
            <v>5 Kilogram packet</v>
          </cell>
          <cell r="F125" t="str">
            <v>Shillings</v>
          </cell>
          <cell r="G125"/>
        </row>
        <row r="126">
          <cell r="A126">
            <v>1061</v>
          </cell>
          <cell r="B126" t="str">
            <v>MAGANJO GRAIN MILLERS LIMITED</v>
          </cell>
          <cell r="C126" t="str">
            <v>Soya Millet Flour</v>
          </cell>
          <cell r="D126" t="str">
            <v>Soya and Millet Flour Mix</v>
          </cell>
          <cell r="E126" t="str">
            <v>Kilogram</v>
          </cell>
          <cell r="F126" t="str">
            <v>Shillings</v>
          </cell>
          <cell r="G126"/>
        </row>
        <row r="127">
          <cell r="A127">
            <v>1061</v>
          </cell>
          <cell r="B127" t="str">
            <v>MAGANJO GRAIN MILLERS LIMITED</v>
          </cell>
          <cell r="C127" t="str">
            <v>Millet Flour</v>
          </cell>
          <cell r="D127" t="str">
            <v>Millet Flour</v>
          </cell>
          <cell r="E127" t="str">
            <v>Kilogram</v>
          </cell>
          <cell r="F127" t="str">
            <v>Shillings</v>
          </cell>
          <cell r="G127"/>
        </row>
        <row r="128">
          <cell r="A128">
            <v>1061</v>
          </cell>
          <cell r="B128" t="str">
            <v>MAGANJO GRAIN MILLERS LIMITED</v>
          </cell>
          <cell r="C128" t="str">
            <v>Porridge Flour Millet</v>
          </cell>
          <cell r="D128" t="str">
            <v>Porridge Flour Millet</v>
          </cell>
          <cell r="E128" t="str">
            <v>25 Kilogram</v>
          </cell>
          <cell r="F128" t="str">
            <v>Shillings</v>
          </cell>
          <cell r="G128"/>
        </row>
        <row r="129">
          <cell r="A129">
            <v>1061</v>
          </cell>
          <cell r="B129" t="str">
            <v>MAGANJO GRAIN MILLERS LIMITED</v>
          </cell>
          <cell r="C129" t="str">
            <v>soya rice flour</v>
          </cell>
          <cell r="D129" t="str">
            <v>soya and rice mixture</v>
          </cell>
          <cell r="E129" t="str">
            <v>Kilogram</v>
          </cell>
          <cell r="F129" t="str">
            <v>Shillings</v>
          </cell>
          <cell r="G129"/>
        </row>
        <row r="130">
          <cell r="A130">
            <v>1061</v>
          </cell>
          <cell r="B130" t="str">
            <v>Alfil Millers (U) Ltd</v>
          </cell>
          <cell r="C130" t="str">
            <v>Tembo Home Baking Flour</v>
          </cell>
          <cell r="D130" t="str">
            <v>Tembo Home Baking Flour</v>
          </cell>
          <cell r="E130" t="str">
            <v>A carton of 24 Packets of 2 Kg</v>
          </cell>
          <cell r="F130" t="str">
            <v>Shillings</v>
          </cell>
          <cell r="G130"/>
        </row>
        <row r="131">
          <cell r="A131">
            <v>1061</v>
          </cell>
          <cell r="B131" t="str">
            <v>Alfil Millers (U) Ltd</v>
          </cell>
          <cell r="C131" t="str">
            <v>Bakers Flour of 50 Kg</v>
          </cell>
          <cell r="D131" t="str">
            <v>Bakers Flour of 50 Kg</v>
          </cell>
          <cell r="E131" t="str">
            <v>A bag of 50 Kgs</v>
          </cell>
          <cell r="F131" t="str">
            <v>Shillings</v>
          </cell>
          <cell r="G131"/>
        </row>
        <row r="132">
          <cell r="A132">
            <v>1061</v>
          </cell>
          <cell r="B132" t="str">
            <v>Alfil Millers (U) Ltd</v>
          </cell>
          <cell r="C132" t="str">
            <v>Bakers Flour of 25 Kg</v>
          </cell>
          <cell r="D132" t="str">
            <v>Bakers Flour of 25 Kg</v>
          </cell>
          <cell r="E132" t="str">
            <v>A bag of 25 Kgs</v>
          </cell>
          <cell r="F132" t="str">
            <v>Shillings</v>
          </cell>
          <cell r="G132"/>
        </row>
        <row r="133">
          <cell r="A133">
            <v>1061</v>
          </cell>
          <cell r="B133" t="str">
            <v>AHMED RAZA FOODS INDUSTRIES LIMITED</v>
          </cell>
          <cell r="C133" t="str">
            <v>Baking flour</v>
          </cell>
          <cell r="D133" t="str">
            <v>Baking flour 50kgs</v>
          </cell>
          <cell r="E133" t="str">
            <v>A bag of 50 Kgs</v>
          </cell>
          <cell r="F133" t="str">
            <v>Shillings</v>
          </cell>
          <cell r="G133"/>
        </row>
        <row r="134">
          <cell r="A134">
            <v>1061</v>
          </cell>
          <cell r="B134" t="str">
            <v>AHMED RAZA FOODS INDUSTRIES LIMITED</v>
          </cell>
          <cell r="C134" t="str">
            <v>Baking flour</v>
          </cell>
          <cell r="D134" t="str">
            <v>Baking flour 24kgs</v>
          </cell>
          <cell r="E134" t="str">
            <v>A carton of 12 Packets of 24 Kg</v>
          </cell>
          <cell r="F134" t="str">
            <v>Shillings</v>
          </cell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B136" t="str">
            <v>Manufacture of other food products</v>
          </cell>
          <cell r="G136"/>
        </row>
        <row r="137">
          <cell r="B137" t="str">
            <v xml:space="preserve"> Manufacture of bakery products</v>
          </cell>
          <cell r="E137"/>
          <cell r="F137" t="str">
            <v>Index</v>
          </cell>
          <cell r="G137">
            <v>14.431745733660501</v>
          </cell>
        </row>
        <row r="138">
          <cell r="A138" t="str">
            <v>1071</v>
          </cell>
          <cell r="B138" t="str">
            <v xml:space="preserve"> Manufacture of bakery products</v>
          </cell>
          <cell r="E138"/>
          <cell r="F138" t="str">
            <v>Geomean</v>
          </cell>
        </row>
        <row r="139">
          <cell r="A139">
            <v>1071</v>
          </cell>
          <cell r="B139" t="str">
            <v>BRITANIA ALLIED (U) LIMITED</v>
          </cell>
          <cell r="C139" t="str">
            <v>Family Biscuits</v>
          </cell>
          <cell r="D139" t="str">
            <v>Family 200gms</v>
          </cell>
          <cell r="E139" t="str">
            <v>Carton of 25</v>
          </cell>
          <cell r="F139" t="str">
            <v>Shillings</v>
          </cell>
          <cell r="G139"/>
        </row>
        <row r="140">
          <cell r="A140">
            <v>1071</v>
          </cell>
          <cell r="B140" t="str">
            <v>BRITANIA ALLIED (U) LIMITED</v>
          </cell>
          <cell r="C140" t="str">
            <v>Nice Biscuits</v>
          </cell>
          <cell r="D140" t="str">
            <v>Nice 200gms</v>
          </cell>
          <cell r="E140" t="str">
            <v>Carton of 25</v>
          </cell>
          <cell r="F140" t="str">
            <v>Shillings</v>
          </cell>
          <cell r="G140"/>
        </row>
        <row r="141">
          <cell r="A141">
            <v>1071</v>
          </cell>
          <cell r="B141" t="str">
            <v>NTAKE BAKERY CO. LIMITED</v>
          </cell>
          <cell r="C141" t="str">
            <v>Family Bread</v>
          </cell>
          <cell r="D141" t="str">
            <v>Family Bread</v>
          </cell>
          <cell r="E141" t="str">
            <v>Loaf of 1 Kilogram</v>
          </cell>
          <cell r="F141" t="str">
            <v>Shillings</v>
          </cell>
          <cell r="G141"/>
        </row>
        <row r="142">
          <cell r="A142">
            <v>1071</v>
          </cell>
          <cell r="B142" t="str">
            <v>NTAKE BAKERY CO. LIMITED</v>
          </cell>
          <cell r="C142" t="str">
            <v>Buns</v>
          </cell>
          <cell r="D142" t="str">
            <v>Buns</v>
          </cell>
          <cell r="E142" t="str">
            <v>6 pieces (packet)</v>
          </cell>
          <cell r="F142" t="str">
            <v>Shillings</v>
          </cell>
          <cell r="G142"/>
        </row>
        <row r="143">
          <cell r="A143">
            <v>1071</v>
          </cell>
          <cell r="B143" t="str">
            <v>NTAKE BAKERY CO. LIMITED</v>
          </cell>
          <cell r="C143" t="str">
            <v>Doughnuts(12pcs)</v>
          </cell>
          <cell r="D143" t="str">
            <v>Doughnuts(12pcs)</v>
          </cell>
          <cell r="E143" t="str">
            <v>12 pieces(packet)</v>
          </cell>
          <cell r="F143" t="str">
            <v>Shillings</v>
          </cell>
          <cell r="G143"/>
        </row>
        <row r="144">
          <cell r="A144">
            <v>1071</v>
          </cell>
          <cell r="B144" t="str">
            <v>NTAKE BAKERY CO. LIMITED</v>
          </cell>
          <cell r="C144" t="str">
            <v>Brown Bread 1kg.</v>
          </cell>
          <cell r="D144" t="str">
            <v>Brown Bread 1kg.</v>
          </cell>
          <cell r="E144" t="str">
            <v>Loaf (1 Kilogram)</v>
          </cell>
          <cell r="F144" t="str">
            <v>Shillings</v>
          </cell>
          <cell r="G144"/>
        </row>
        <row r="145">
          <cell r="A145">
            <v>1071</v>
          </cell>
          <cell r="B145" t="str">
            <v>NTAKE BAKERY CO. LIMITED</v>
          </cell>
          <cell r="C145" t="str">
            <v>Crown Cakes (Cakes)</v>
          </cell>
          <cell r="D145" t="str">
            <v>Packet of 6 pieces</v>
          </cell>
          <cell r="E145" t="str">
            <v>piece</v>
          </cell>
          <cell r="F145" t="str">
            <v>Shillings</v>
          </cell>
          <cell r="G145"/>
        </row>
        <row r="146">
          <cell r="A146">
            <v>1071</v>
          </cell>
          <cell r="B146" t="str">
            <v>NTAKE BAKERY CO. LIMITED</v>
          </cell>
          <cell r="C146" t="str">
            <v>Bread Special</v>
          </cell>
          <cell r="D146" t="str">
            <v>500G</v>
          </cell>
          <cell r="E146" t="str">
            <v>500G</v>
          </cell>
          <cell r="F146" t="str">
            <v>Shillings</v>
          </cell>
          <cell r="G146"/>
        </row>
        <row r="147">
          <cell r="A147">
            <v>1071</v>
          </cell>
          <cell r="B147" t="str">
            <v>JASSANI FOOD INDUSTRIES LIMITED</v>
          </cell>
          <cell r="C147" t="str">
            <v>Biscuits</v>
          </cell>
          <cell r="D147" t="str">
            <v>Milk biscuits</v>
          </cell>
          <cell r="E147" t="str">
            <v>Box 3.3kgs</v>
          </cell>
          <cell r="F147" t="str">
            <v>Shillings</v>
          </cell>
          <cell r="G147"/>
        </row>
        <row r="148">
          <cell r="A148">
            <v>1071</v>
          </cell>
          <cell r="B148" t="str">
            <v>JASSANI FOOD INDUSTRIES LIMITED</v>
          </cell>
          <cell r="C148" t="str">
            <v>Biscuits</v>
          </cell>
          <cell r="D148" t="str">
            <v>Glucose</v>
          </cell>
          <cell r="E148" t="str">
            <v>Box (3.3kgs)</v>
          </cell>
          <cell r="F148" t="str">
            <v>Shillings</v>
          </cell>
          <cell r="G148"/>
        </row>
        <row r="149">
          <cell r="A149">
            <v>1071</v>
          </cell>
          <cell r="B149" t="str">
            <v>DAILY LOAF LIMITED</v>
          </cell>
          <cell r="C149" t="str">
            <v>Bread 1000 grammes</v>
          </cell>
          <cell r="D149" t="str">
            <v>DAILY BREAD 1KG</v>
          </cell>
          <cell r="E149" t="str">
            <v>loaf</v>
          </cell>
          <cell r="F149" t="str">
            <v>Shillings</v>
          </cell>
          <cell r="G149"/>
        </row>
        <row r="150">
          <cell r="A150">
            <v>1071</v>
          </cell>
          <cell r="B150" t="str">
            <v>DAILY LOAF LIMITED</v>
          </cell>
          <cell r="C150" t="str">
            <v>Bread 500 grammes</v>
          </cell>
          <cell r="D150" t="str">
            <v>1/2KG DAILY BREAD</v>
          </cell>
          <cell r="E150" t="str">
            <v>loaf</v>
          </cell>
          <cell r="F150" t="str">
            <v>Shillings</v>
          </cell>
          <cell r="G150"/>
        </row>
        <row r="151">
          <cell r="A151">
            <v>1071</v>
          </cell>
          <cell r="B151" t="str">
            <v>EASY BAKERS AND CONFECTIONERY (U) LIMITED</v>
          </cell>
          <cell r="C151" t="str">
            <v>Coconut Cakes</v>
          </cell>
          <cell r="D151" t="str">
            <v>coconut cakes</v>
          </cell>
          <cell r="E151" t="str">
            <v>Piece</v>
          </cell>
          <cell r="F151" t="str">
            <v>Shillings</v>
          </cell>
          <cell r="G151"/>
        </row>
        <row r="152">
          <cell r="A152">
            <v>1071</v>
          </cell>
          <cell r="B152" t="str">
            <v>EASY BAKERS AND CONFECTIONERY (U) LIMITED</v>
          </cell>
          <cell r="C152" t="str">
            <v>Farmer's Bread</v>
          </cell>
          <cell r="D152" t="str">
            <v>farmers bread 500gm</v>
          </cell>
          <cell r="E152" t="str">
            <v>Piece</v>
          </cell>
          <cell r="F152" t="str">
            <v>Shillings</v>
          </cell>
          <cell r="G152"/>
        </row>
        <row r="153">
          <cell r="A153">
            <v>1071</v>
          </cell>
          <cell r="B153" t="str">
            <v>EASY BAKERS AND CONFECTIONERY (U) LIMITED</v>
          </cell>
          <cell r="C153" t="str">
            <v>Queen Cakes</v>
          </cell>
          <cell r="D153" t="str">
            <v>queen cakes</v>
          </cell>
          <cell r="E153" t="str">
            <v>Piece</v>
          </cell>
          <cell r="F153" t="str">
            <v>Shillings</v>
          </cell>
          <cell r="G153"/>
        </row>
        <row r="154">
          <cell r="A154">
            <v>1071</v>
          </cell>
          <cell r="B154" t="str">
            <v>EASY BAKERS AND CONFECTIONERY (U) LIMITED</v>
          </cell>
          <cell r="C154" t="str">
            <v>Salt Bread, 1Kg</v>
          </cell>
          <cell r="D154" t="str">
            <v>salt bread 1kg</v>
          </cell>
          <cell r="E154" t="str">
            <v>Piece</v>
          </cell>
          <cell r="F154" t="str">
            <v>Shillings</v>
          </cell>
          <cell r="G154"/>
        </row>
        <row r="155">
          <cell r="A155">
            <v>1071</v>
          </cell>
          <cell r="B155" t="str">
            <v>EASY BAKERS AND CONFECTIONERY (U) LIMITED</v>
          </cell>
          <cell r="C155" t="str">
            <v>Sliced Cakes</v>
          </cell>
          <cell r="D155" t="str">
            <v>fruits(raisins) SLICED CAKES</v>
          </cell>
          <cell r="E155" t="str">
            <v>Piece</v>
          </cell>
          <cell r="F155" t="str">
            <v>Shillings</v>
          </cell>
          <cell r="G155"/>
        </row>
        <row r="156">
          <cell r="A156">
            <v>1071</v>
          </cell>
          <cell r="B156" t="str">
            <v>EASY BAKERS AND CONFECTIONERY (U) LIMITED</v>
          </cell>
          <cell r="C156" t="str">
            <v>sweet bread (500gms)</v>
          </cell>
          <cell r="D156" t="str">
            <v>sweet bread 500gm</v>
          </cell>
          <cell r="E156" t="str">
            <v>Piece</v>
          </cell>
          <cell r="F156" t="str">
            <v>Shillings</v>
          </cell>
          <cell r="G156"/>
        </row>
        <row r="157">
          <cell r="A157">
            <v>1071</v>
          </cell>
          <cell r="B157" t="str">
            <v>EASY BAKERS AND CONFECTIONERY (U) LIMITED</v>
          </cell>
          <cell r="C157" t="str">
            <v>Sweet Bread, 1Kg</v>
          </cell>
          <cell r="D157" t="str">
            <v>Sweet bread 1kg</v>
          </cell>
          <cell r="E157" t="str">
            <v>Piece</v>
          </cell>
          <cell r="F157" t="str">
            <v>Shillings</v>
          </cell>
          <cell r="G157"/>
        </row>
        <row r="158">
          <cell r="A158">
            <v>1071</v>
          </cell>
          <cell r="B158" t="str">
            <v>MUKONO BAKERY LTD</v>
          </cell>
          <cell r="C158" t="str">
            <v>Bread</v>
          </cell>
          <cell r="D158" t="str">
            <v>Family (kilo)</v>
          </cell>
          <cell r="E158" t="str">
            <v>loaf</v>
          </cell>
          <cell r="F158" t="str">
            <v>Shillings</v>
          </cell>
          <cell r="G158"/>
        </row>
        <row r="159">
          <cell r="A159">
            <v>1071</v>
          </cell>
          <cell r="B159" t="str">
            <v>MUKONO BAKERY LTD</v>
          </cell>
          <cell r="C159" t="str">
            <v>Bread</v>
          </cell>
          <cell r="D159" t="str">
            <v>Family (half kilo)</v>
          </cell>
          <cell r="E159" t="str">
            <v>loaf</v>
          </cell>
          <cell r="F159" t="str">
            <v>Shillings</v>
          </cell>
          <cell r="G159"/>
        </row>
        <row r="160">
          <cell r="A160">
            <v>1071</v>
          </cell>
          <cell r="B160" t="str">
            <v>MUKONO BAKERY LTD</v>
          </cell>
          <cell r="C160" t="str">
            <v>Bread</v>
          </cell>
          <cell r="D160" t="str">
            <v>Buns (big)</v>
          </cell>
          <cell r="E160" t="str">
            <v>packet</v>
          </cell>
          <cell r="F160" t="str">
            <v>Shillings</v>
          </cell>
          <cell r="G160"/>
        </row>
        <row r="161">
          <cell r="A161">
            <v>1071</v>
          </cell>
          <cell r="B161" t="str">
            <v>MUKONO BAKERY LTD</v>
          </cell>
          <cell r="C161" t="str">
            <v>Bread</v>
          </cell>
          <cell r="D161" t="str">
            <v>Buns (small)</v>
          </cell>
          <cell r="E161" t="str">
            <v>packet</v>
          </cell>
          <cell r="F161" t="str">
            <v>Shillings</v>
          </cell>
          <cell r="G161"/>
        </row>
        <row r="162">
          <cell r="A162">
            <v>1071</v>
          </cell>
          <cell r="B162" t="str">
            <v>MUKONO BAKERY LTD</v>
          </cell>
          <cell r="C162" t="str">
            <v>Donuts</v>
          </cell>
          <cell r="D162" t="str">
            <v>Big size donuts (350g)</v>
          </cell>
          <cell r="E162" t="str">
            <v>carton</v>
          </cell>
          <cell r="F162" t="str">
            <v>Shillings</v>
          </cell>
          <cell r="G162"/>
        </row>
        <row r="163">
          <cell r="A163">
            <v>1071</v>
          </cell>
          <cell r="B163" t="str">
            <v>MUKONO BAKERY LTD</v>
          </cell>
          <cell r="C163" t="str">
            <v>Donuts</v>
          </cell>
          <cell r="D163" t="str">
            <v>Small size donuts</v>
          </cell>
          <cell r="E163" t="str">
            <v>carton</v>
          </cell>
          <cell r="F163" t="str">
            <v>Shillings</v>
          </cell>
          <cell r="G163"/>
        </row>
        <row r="164">
          <cell r="A164">
            <v>1071</v>
          </cell>
          <cell r="B164" t="str">
            <v>MUKONO BAKERY LTD</v>
          </cell>
          <cell r="C164" t="str">
            <v>Daddies</v>
          </cell>
          <cell r="D164" t="str">
            <v>Half dozen (6)</v>
          </cell>
          <cell r="E164" t="str">
            <v>per kg</v>
          </cell>
          <cell r="F164" t="str">
            <v>Shillings</v>
          </cell>
          <cell r="G164"/>
        </row>
        <row r="165">
          <cell r="A165">
            <v>1071</v>
          </cell>
          <cell r="B165" t="str">
            <v>MUKONO BAKERY LTD</v>
          </cell>
          <cell r="C165" t="str">
            <v>Cakes</v>
          </cell>
          <cell r="D165" t="str">
            <v>Big cakes (12's)</v>
          </cell>
          <cell r="E165" t="str">
            <v>packet</v>
          </cell>
          <cell r="F165" t="str">
            <v>Shillings</v>
          </cell>
          <cell r="G165"/>
        </row>
        <row r="166">
          <cell r="A166">
            <v>1071</v>
          </cell>
          <cell r="B166" t="str">
            <v>MUKONO BAKERY LTD</v>
          </cell>
          <cell r="C166" t="str">
            <v>Cakes</v>
          </cell>
          <cell r="D166" t="str">
            <v>Small cakes (12's)</v>
          </cell>
          <cell r="E166" t="str">
            <v>packet</v>
          </cell>
          <cell r="F166" t="str">
            <v>Shillings</v>
          </cell>
          <cell r="G166"/>
        </row>
        <row r="167">
          <cell r="A167">
            <v>1071</v>
          </cell>
          <cell r="B167" t="str">
            <v>AHMED RAZA FOODS INDUSTRIES LIMITED</v>
          </cell>
          <cell r="C167" t="str">
            <v>Biscuits</v>
          </cell>
          <cell r="D167" t="str">
            <v>Milk biscuits 35g</v>
          </cell>
          <cell r="E167" t="str">
            <v>box of 120 packets</v>
          </cell>
          <cell r="F167" t="str">
            <v>Shillings</v>
          </cell>
          <cell r="G167"/>
        </row>
        <row r="168">
          <cell r="A168">
            <v>1071</v>
          </cell>
          <cell r="B168" t="str">
            <v>AHMED RAZA FOODS INDUSTRIES LIMITED</v>
          </cell>
          <cell r="C168" t="str">
            <v>Biscuits</v>
          </cell>
          <cell r="D168" t="str">
            <v>Glucose Biscuits 35g</v>
          </cell>
          <cell r="E168" t="str">
            <v>box of 120 packets</v>
          </cell>
          <cell r="F168" t="str">
            <v>Shillings</v>
          </cell>
          <cell r="G168"/>
        </row>
        <row r="169">
          <cell r="A169">
            <v>1071</v>
          </cell>
          <cell r="B169" t="str">
            <v>AHMED RAZA FOODS INDUSTRIES LIMITED</v>
          </cell>
          <cell r="C169" t="str">
            <v>Biscuits</v>
          </cell>
          <cell r="D169" t="str">
            <v>Glucose Biscuits 8g</v>
          </cell>
          <cell r="E169" t="str">
            <v>box of 300 packets</v>
          </cell>
          <cell r="F169" t="str">
            <v>Shillings</v>
          </cell>
          <cell r="G169"/>
        </row>
        <row r="170">
          <cell r="A170">
            <v>1071</v>
          </cell>
          <cell r="B170" t="str">
            <v>AHMED RAZA FOODS INDUSTRIES LIMITED</v>
          </cell>
          <cell r="C170" t="str">
            <v>Biscuits</v>
          </cell>
          <cell r="D170" t="str">
            <v>Hasty Tasty 9gms</v>
          </cell>
          <cell r="E170" t="str">
            <v>pouch of 60 packets</v>
          </cell>
          <cell r="F170" t="str">
            <v>Shillings</v>
          </cell>
          <cell r="G170"/>
        </row>
        <row r="171">
          <cell r="A171">
            <v>1071</v>
          </cell>
          <cell r="B171" t="str">
            <v>JONISA BAKERY</v>
          </cell>
          <cell r="C171" t="str">
            <v>BREAD</v>
          </cell>
          <cell r="D171" t="str">
            <v>Sweet white bread</v>
          </cell>
          <cell r="E171" t="str">
            <v>kilogram</v>
          </cell>
          <cell r="F171" t="str">
            <v>Shillings</v>
          </cell>
          <cell r="G171"/>
        </row>
        <row r="172">
          <cell r="A172">
            <v>1071</v>
          </cell>
          <cell r="B172" t="str">
            <v>JONISA BAKERY</v>
          </cell>
          <cell r="C172" t="str">
            <v>CAKES</v>
          </cell>
          <cell r="D172" t="str">
            <v>Plain cake</v>
          </cell>
          <cell r="E172" t="str">
            <v>6 pieces (packet)</v>
          </cell>
          <cell r="F172" t="str">
            <v>Shillings</v>
          </cell>
          <cell r="G172"/>
        </row>
        <row r="173">
          <cell r="A173">
            <v>1071</v>
          </cell>
          <cell r="B173" t="str">
            <v>MINI BAKERIES (U) LIMITED</v>
          </cell>
          <cell r="C173" t="str">
            <v xml:space="preserve">BREAD </v>
          </cell>
          <cell r="D173" t="str">
            <v>BREAD (500gms)</v>
          </cell>
          <cell r="E173" t="str">
            <v>1 pc (500gms)</v>
          </cell>
          <cell r="F173" t="str">
            <v>Shillings</v>
          </cell>
          <cell r="G173"/>
        </row>
        <row r="174">
          <cell r="A174">
            <v>1071</v>
          </cell>
          <cell r="B174" t="str">
            <v>MINI BAKERIES (U) LIMITED</v>
          </cell>
          <cell r="C174" t="str">
            <v>BREAD</v>
          </cell>
          <cell r="D174" t="str">
            <v>BREAD (1 KG)</v>
          </cell>
          <cell r="E174" t="str">
            <v>1 pc (1kg)</v>
          </cell>
          <cell r="F174" t="str">
            <v>Shillings</v>
          </cell>
          <cell r="G174"/>
        </row>
        <row r="175">
          <cell r="A175">
            <v>1071</v>
          </cell>
          <cell r="B175" t="str">
            <v>MINI BAKERIES (U) LIMITED</v>
          </cell>
          <cell r="C175" t="str">
            <v>BREAD</v>
          </cell>
          <cell r="D175" t="str">
            <v>BREAD (750G)</v>
          </cell>
          <cell r="E175" t="str">
            <v>1 pc (750g)</v>
          </cell>
          <cell r="F175" t="str">
            <v>Shillings</v>
          </cell>
          <cell r="G175"/>
        </row>
        <row r="176">
          <cell r="A176">
            <v>1071</v>
          </cell>
          <cell r="B176" t="str">
            <v>MINI BAKERIES (U) LIMITED</v>
          </cell>
          <cell r="C176" t="str">
            <v>BREAD</v>
          </cell>
          <cell r="D176" t="str">
            <v>BREAD (250G)</v>
          </cell>
          <cell r="E176" t="str">
            <v>1 pc (250g)</v>
          </cell>
          <cell r="F176" t="str">
            <v>Shillings</v>
          </cell>
          <cell r="G176"/>
        </row>
        <row r="177">
          <cell r="A177">
            <v>1071</v>
          </cell>
          <cell r="B177" t="str">
            <v>MINI BAKERIES (U) LIMITED</v>
          </cell>
          <cell r="C177" t="str">
            <v>BUNS</v>
          </cell>
          <cell r="D177" t="str">
            <v>BUNS (500G)</v>
          </cell>
          <cell r="E177" t="str">
            <v>PACKET (500g)</v>
          </cell>
          <cell r="F177" t="str">
            <v>Shillings</v>
          </cell>
          <cell r="G177"/>
        </row>
        <row r="178">
          <cell r="A178">
            <v>1071</v>
          </cell>
          <cell r="B178" t="str">
            <v>DENOVO BAKERY LTD</v>
          </cell>
          <cell r="C178" t="str">
            <v>BREAD</v>
          </cell>
          <cell r="D178" t="str">
            <v>BREAD (1KG)</v>
          </cell>
          <cell r="E178" t="str">
            <v>1 pc (1kg)</v>
          </cell>
          <cell r="F178" t="str">
            <v>Shillings</v>
          </cell>
          <cell r="G178"/>
        </row>
        <row r="179">
          <cell r="A179">
            <v>1071</v>
          </cell>
          <cell r="B179" t="str">
            <v>DENOVO BAKERY LTD</v>
          </cell>
          <cell r="C179" t="str">
            <v>BREAD</v>
          </cell>
          <cell r="D179" t="str">
            <v>BREAD (500G)</v>
          </cell>
          <cell r="E179" t="str">
            <v>PACKET (500g)</v>
          </cell>
          <cell r="F179" t="str">
            <v>Shillings</v>
          </cell>
          <cell r="G179"/>
        </row>
        <row r="180">
          <cell r="A180">
            <v>1071</v>
          </cell>
          <cell r="B180" t="str">
            <v>DENOVO BAKERY LTD</v>
          </cell>
          <cell r="C180" t="str">
            <v>BREAD</v>
          </cell>
          <cell r="D180" t="str">
            <v xml:space="preserve">QUEEN CAKES </v>
          </cell>
          <cell r="E180" t="str">
            <v>packet</v>
          </cell>
          <cell r="F180" t="str">
            <v>Shillings</v>
          </cell>
          <cell r="G180"/>
        </row>
        <row r="181">
          <cell r="A181">
            <v>1071</v>
          </cell>
          <cell r="B181" t="str">
            <v>DENOVO BAKERY LTD</v>
          </cell>
          <cell r="C181" t="str">
            <v>MANDAAZI</v>
          </cell>
          <cell r="D181" t="str">
            <v>MANDAAZI</v>
          </cell>
          <cell r="E181" t="str">
            <v>packet</v>
          </cell>
          <cell r="F181" t="str">
            <v>Shillings</v>
          </cell>
          <cell r="G181"/>
        </row>
        <row r="182">
          <cell r="A182"/>
          <cell r="B182"/>
          <cell r="C182"/>
          <cell r="D182"/>
          <cell r="E182"/>
          <cell r="F182"/>
          <cell r="G182"/>
        </row>
        <row r="183">
          <cell r="A183" t="str">
            <v>1072</v>
          </cell>
          <cell r="B183" t="str">
            <v xml:space="preserve"> Manufacture of sugar</v>
          </cell>
          <cell r="E183"/>
          <cell r="F183" t="str">
            <v>Index</v>
          </cell>
          <cell r="G183">
            <v>36.9704815022411</v>
          </cell>
        </row>
        <row r="184">
          <cell r="A184" t="str">
            <v>1072</v>
          </cell>
          <cell r="B184" t="str">
            <v xml:space="preserve"> Manufacture of sugar</v>
          </cell>
          <cell r="E184"/>
          <cell r="F184" t="str">
            <v>Geomean</v>
          </cell>
          <cell r="G184"/>
        </row>
        <row r="185">
          <cell r="A185">
            <v>1072</v>
          </cell>
          <cell r="B185" t="str">
            <v>KAKIRA SUGAR LIMITED</v>
          </cell>
          <cell r="C185" t="str">
            <v>Sugar</v>
          </cell>
          <cell r="D185" t="str">
            <v>Sugar</v>
          </cell>
          <cell r="E185" t="str">
            <v>50 Kilogram bag</v>
          </cell>
          <cell r="F185" t="str">
            <v>Shillings</v>
          </cell>
          <cell r="G185"/>
        </row>
        <row r="186">
          <cell r="A186">
            <v>1072</v>
          </cell>
          <cell r="B186" t="str">
            <v>KINYARA SUGAR WORKS</v>
          </cell>
          <cell r="C186" t="str">
            <v>Sugar</v>
          </cell>
          <cell r="D186" t="str">
            <v xml:space="preserve">Sugar </v>
          </cell>
          <cell r="E186" t="str">
            <v>50 Kilogram bag</v>
          </cell>
          <cell r="F186" t="str">
            <v>Shillings</v>
          </cell>
          <cell r="G186"/>
        </row>
        <row r="187">
          <cell r="A187">
            <v>1072</v>
          </cell>
          <cell r="B187" t="str">
            <v>SUGAR CORPORATION OF UGANDA LIMITED (SCOUL)</v>
          </cell>
          <cell r="C187" t="str">
            <v>Lugazi Sugar</v>
          </cell>
          <cell r="D187" t="str">
            <v>Lugazi Sugar</v>
          </cell>
          <cell r="E187" t="str">
            <v>50 Kilogram bag</v>
          </cell>
          <cell r="F187" t="str">
            <v>Shillings</v>
          </cell>
          <cell r="G187"/>
        </row>
        <row r="188">
          <cell r="A188">
            <v>1072</v>
          </cell>
          <cell r="B188" t="str">
            <v>SUGAR CORPORATION OF UGANDA LIMITED (SCOUL)</v>
          </cell>
          <cell r="C188" t="str">
            <v>Lugazi Premium</v>
          </cell>
          <cell r="D188" t="str">
            <v>Lugazi Premium</v>
          </cell>
          <cell r="E188" t="str">
            <v>25 Kilogram bag</v>
          </cell>
          <cell r="F188" t="str">
            <v>Shillings</v>
          </cell>
          <cell r="G188"/>
        </row>
        <row r="189">
          <cell r="A189">
            <v>1072</v>
          </cell>
          <cell r="B189" t="str">
            <v>G.M. SUGAR LIMITED</v>
          </cell>
          <cell r="C189" t="str">
            <v>Sugar</v>
          </cell>
          <cell r="D189" t="str">
            <v>Sugar</v>
          </cell>
          <cell r="E189" t="str">
            <v>50 Kilogram bag</v>
          </cell>
          <cell r="F189" t="str">
            <v>Shillings</v>
          </cell>
          <cell r="G189"/>
        </row>
        <row r="190">
          <cell r="A190">
            <v>1072</v>
          </cell>
          <cell r="B190" t="str">
            <v>BWENDERO FARM</v>
          </cell>
          <cell r="C190" t="str">
            <v>Sugar 50kg</v>
          </cell>
          <cell r="D190" t="str">
            <v>Sugar 50kg</v>
          </cell>
          <cell r="E190" t="str">
            <v>50kg bag</v>
          </cell>
          <cell r="F190" t="str">
            <v>Shillings</v>
          </cell>
          <cell r="G190"/>
        </row>
        <row r="191">
          <cell r="A191">
            <v>1072</v>
          </cell>
          <cell r="B191" t="str">
            <v>BWENDERO FARM</v>
          </cell>
          <cell r="C191" t="str">
            <v>Sugar 25kg</v>
          </cell>
          <cell r="D191" t="str">
            <v>Sugar 25kg</v>
          </cell>
          <cell r="E191" t="str">
            <v>25kg bag</v>
          </cell>
          <cell r="F191" t="str">
            <v>Shillings</v>
          </cell>
          <cell r="G191"/>
        </row>
        <row r="192">
          <cell r="A192">
            <v>1072</v>
          </cell>
          <cell r="B192" t="str">
            <v>BWENDERO FARM</v>
          </cell>
          <cell r="C192" t="str">
            <v>Sugar 10kg</v>
          </cell>
          <cell r="D192" t="str">
            <v>Sugar 10kg</v>
          </cell>
          <cell r="E192" t="str">
            <v>10kg bag</v>
          </cell>
          <cell r="F192" t="str">
            <v>Shillings</v>
          </cell>
          <cell r="G192"/>
        </row>
        <row r="193">
          <cell r="A193">
            <v>1072</v>
          </cell>
          <cell r="B193" t="str">
            <v>BWENDERO FARM</v>
          </cell>
          <cell r="C193" t="str">
            <v>Sugar 1kg</v>
          </cell>
          <cell r="D193" t="str">
            <v>Sugar 1kg</v>
          </cell>
          <cell r="E193" t="str">
            <v>1kg bag CARTON</v>
          </cell>
          <cell r="F193" t="str">
            <v>Shillings</v>
          </cell>
          <cell r="G193"/>
        </row>
        <row r="194">
          <cell r="A194"/>
          <cell r="B194"/>
          <cell r="C194"/>
          <cell r="D194"/>
          <cell r="E194"/>
          <cell r="F194"/>
          <cell r="G194"/>
        </row>
        <row r="195">
          <cell r="A195" t="str">
            <v>1076</v>
          </cell>
          <cell r="B195" t="str">
            <v xml:space="preserve"> Processing of Coffee</v>
          </cell>
          <cell r="E195"/>
          <cell r="F195" t="str">
            <v>Index</v>
          </cell>
          <cell r="G195">
            <v>2.5251990265486399</v>
          </cell>
        </row>
        <row r="196">
          <cell r="B196" t="str">
            <v xml:space="preserve"> Processing of Coffee</v>
          </cell>
          <cell r="E196"/>
          <cell r="F196" t="str">
            <v>Geomean</v>
          </cell>
          <cell r="G196"/>
        </row>
        <row r="197">
          <cell r="A197">
            <v>1076</v>
          </cell>
          <cell r="B197" t="str">
            <v>STAR CAFÉ</v>
          </cell>
          <cell r="C197" t="str">
            <v>Starcafe premium(ISP)</v>
          </cell>
          <cell r="D197" t="str">
            <v>Instant Coffee 50gm</v>
          </cell>
          <cell r="E197" t="str">
            <v>Carton of 24 pieces</v>
          </cell>
          <cell r="F197" t="str">
            <v>Shillings</v>
          </cell>
          <cell r="G197"/>
        </row>
        <row r="198">
          <cell r="A198">
            <v>1076</v>
          </cell>
          <cell r="B198" t="str">
            <v>STAR CAFÉ</v>
          </cell>
          <cell r="C198" t="str">
            <v>Starcafe premium(ISP)</v>
          </cell>
          <cell r="D198" t="str">
            <v>Instant Coffee 100gm</v>
          </cell>
          <cell r="E198" t="str">
            <v>Carton of 12 pieces</v>
          </cell>
          <cell r="F198" t="str">
            <v>Shillings</v>
          </cell>
          <cell r="G198"/>
        </row>
        <row r="199">
          <cell r="A199">
            <v>1076</v>
          </cell>
          <cell r="B199" t="str">
            <v>STAR CAFÉ</v>
          </cell>
          <cell r="C199" t="str">
            <v>Starcafe premium(ISP)</v>
          </cell>
          <cell r="D199" t="str">
            <v>Instant Coffee 250gm</v>
          </cell>
          <cell r="E199" t="str">
            <v>Carton of 6 pieces</v>
          </cell>
          <cell r="F199" t="str">
            <v>Shillings</v>
          </cell>
          <cell r="G199"/>
        </row>
        <row r="200">
          <cell r="A200">
            <v>1076</v>
          </cell>
          <cell r="B200" t="str">
            <v>STAR CAFÉ</v>
          </cell>
          <cell r="C200" t="str">
            <v>Star coffee R&amp;G</v>
          </cell>
          <cell r="D200" t="str">
            <v>Star coffee Medium  2gm</v>
          </cell>
          <cell r="E200" t="str">
            <v>Carton of 50 pieces</v>
          </cell>
          <cell r="F200" t="str">
            <v>Shillings</v>
          </cell>
          <cell r="G200"/>
        </row>
        <row r="201">
          <cell r="A201">
            <v>1076</v>
          </cell>
          <cell r="B201" t="str">
            <v>STAR CAFÉ</v>
          </cell>
          <cell r="C201" t="str">
            <v>Star coffee R&amp;G</v>
          </cell>
          <cell r="D201" t="str">
            <v>Star coffee Medium  20gm</v>
          </cell>
          <cell r="E201" t="str">
            <v>Carton of 180 pieces</v>
          </cell>
          <cell r="F201" t="str">
            <v>Shillings</v>
          </cell>
          <cell r="G201"/>
        </row>
        <row r="202">
          <cell r="A202">
            <v>1076</v>
          </cell>
          <cell r="B202" t="str">
            <v>STAR CAFÉ</v>
          </cell>
          <cell r="C202" t="str">
            <v>Star coffee R&amp;G</v>
          </cell>
          <cell r="D202" t="str">
            <v>Star coffee Medium  50gm</v>
          </cell>
          <cell r="E202" t="str">
            <v>Carton of 120 pieces</v>
          </cell>
          <cell r="F202" t="str">
            <v>Shillings</v>
          </cell>
          <cell r="G202"/>
        </row>
        <row r="203">
          <cell r="A203">
            <v>1076</v>
          </cell>
          <cell r="B203" t="str">
            <v>STAR CAFÉ</v>
          </cell>
          <cell r="C203" t="str">
            <v>Star coffee R&amp;G</v>
          </cell>
          <cell r="D203" t="str">
            <v>Star coffee Medium  100gm</v>
          </cell>
          <cell r="E203" t="str">
            <v>Carton of 60 pieces</v>
          </cell>
          <cell r="F203" t="str">
            <v>Shillings</v>
          </cell>
          <cell r="G203"/>
        </row>
        <row r="204">
          <cell r="A204">
            <v>1076</v>
          </cell>
          <cell r="B204" t="str">
            <v>STAR CAFÉ</v>
          </cell>
          <cell r="C204" t="str">
            <v>Star coffee R&amp;G</v>
          </cell>
          <cell r="D204" t="str">
            <v>Star coffee Medium  250gm</v>
          </cell>
          <cell r="E204" t="str">
            <v>Carton of 24 pieces</v>
          </cell>
          <cell r="F204" t="str">
            <v>Shillings</v>
          </cell>
          <cell r="G204"/>
        </row>
        <row r="205">
          <cell r="A205">
            <v>1076</v>
          </cell>
          <cell r="B205" t="str">
            <v>STAR CAFÉ</v>
          </cell>
          <cell r="C205" t="str">
            <v>Bugisu AA-Roasted &amp; Ground</v>
          </cell>
          <cell r="D205" t="str">
            <v>Bugisu AA-Roasted &amp; Ground 250gm</v>
          </cell>
          <cell r="E205" t="str">
            <v>Carton of 24 pieces</v>
          </cell>
          <cell r="F205" t="str">
            <v>Shillings</v>
          </cell>
          <cell r="G205"/>
        </row>
        <row r="206">
          <cell r="A206">
            <v>1076</v>
          </cell>
          <cell r="B206" t="str">
            <v>STAR CAFÉ</v>
          </cell>
          <cell r="C206" t="str">
            <v>Bugisu AA-Roasted &amp; Ground</v>
          </cell>
          <cell r="D206" t="str">
            <v>Bugisu AA-Roasted &amp; Ground 500gm</v>
          </cell>
          <cell r="E206" t="str">
            <v>24 units</v>
          </cell>
          <cell r="F206" t="str">
            <v>Shillings</v>
          </cell>
          <cell r="G206"/>
        </row>
        <row r="207">
          <cell r="A207">
            <v>1076</v>
          </cell>
          <cell r="B207" t="str">
            <v>STAR CAFÉ</v>
          </cell>
          <cell r="C207" t="str">
            <v>Bugisu AA-Roasted Beans</v>
          </cell>
          <cell r="D207" t="str">
            <v>Bugisu AA-Roasted Beans 250gm</v>
          </cell>
          <cell r="E207" t="str">
            <v>Carton of 24 pieces</v>
          </cell>
          <cell r="F207" t="str">
            <v>Shillings</v>
          </cell>
          <cell r="G207"/>
        </row>
        <row r="208">
          <cell r="A208">
            <v>1076</v>
          </cell>
          <cell r="B208" t="str">
            <v>STAR CAFÉ</v>
          </cell>
          <cell r="C208" t="str">
            <v>Bugisu AA-Roasted Beans</v>
          </cell>
          <cell r="D208" t="str">
            <v>Bugisu AA-Roasted Beans 500gm</v>
          </cell>
          <cell r="E208" t="str">
            <v>Carton of 12 pieces</v>
          </cell>
          <cell r="F208" t="str">
            <v>Shillings</v>
          </cell>
          <cell r="G208"/>
        </row>
        <row r="209">
          <cell r="A209">
            <v>1076</v>
          </cell>
          <cell r="B209" t="str">
            <v>BUKONZO JOINT COOPERATIVE UNION</v>
          </cell>
          <cell r="C209" t="str">
            <v>Roasted coffee beans</v>
          </cell>
          <cell r="D209" t="str">
            <v>Screen 15</v>
          </cell>
          <cell r="E209" t="str">
            <v>1kg</v>
          </cell>
          <cell r="F209" t="str">
            <v>Shillings</v>
          </cell>
          <cell r="G209"/>
        </row>
        <row r="210">
          <cell r="A210">
            <v>1076</v>
          </cell>
          <cell r="B210" t="str">
            <v>BUKONZO JOINT COOPERATIVE UNION</v>
          </cell>
          <cell r="C210" t="str">
            <v>Roasted grounded coffee powder</v>
          </cell>
          <cell r="D210" t="str">
            <v>Grounded powder</v>
          </cell>
          <cell r="E210" t="str">
            <v>1kg</v>
          </cell>
          <cell r="F210" t="str">
            <v>Shillings</v>
          </cell>
          <cell r="G210"/>
        </row>
        <row r="211">
          <cell r="A211">
            <v>1076</v>
          </cell>
          <cell r="B211" t="str">
            <v>MASAKA COOPERATIVE UNION</v>
          </cell>
          <cell r="C211" t="str">
            <v>COFFEE BEANS</v>
          </cell>
          <cell r="D211" t="str">
            <v>SCREEN 12</v>
          </cell>
          <cell r="E211" t="str">
            <v>1 kg</v>
          </cell>
          <cell r="F211" t="str">
            <v>Shillings</v>
          </cell>
          <cell r="G211"/>
        </row>
        <row r="212">
          <cell r="A212">
            <v>1076</v>
          </cell>
          <cell r="B212" t="str">
            <v>MASAKA COOPERATIVE UNION</v>
          </cell>
          <cell r="C212" t="str">
            <v>COFFEE BEANS</v>
          </cell>
          <cell r="D212" t="str">
            <v>SCREEN 18</v>
          </cell>
          <cell r="E212" t="str">
            <v>1 kg</v>
          </cell>
          <cell r="F212" t="str">
            <v>Shillings</v>
          </cell>
          <cell r="G212"/>
        </row>
        <row r="213">
          <cell r="A213">
            <v>1076</v>
          </cell>
          <cell r="B213" t="str">
            <v>MASAKA COOPERATIVE UNION</v>
          </cell>
          <cell r="C213" t="str">
            <v>COFFEE BEANS</v>
          </cell>
          <cell r="D213" t="str">
            <v>SCREEN 15</v>
          </cell>
          <cell r="E213" t="str">
            <v>1 kg</v>
          </cell>
          <cell r="F213" t="str">
            <v>Shillings</v>
          </cell>
          <cell r="G213"/>
        </row>
        <row r="214">
          <cell r="A214"/>
          <cell r="B214"/>
          <cell r="C214"/>
          <cell r="D214"/>
          <cell r="E214"/>
          <cell r="F214"/>
          <cell r="G214"/>
        </row>
        <row r="215">
          <cell r="A215" t="str">
            <v>1077</v>
          </cell>
          <cell r="B215" t="str">
            <v xml:space="preserve"> Processing of Tea</v>
          </cell>
          <cell r="E215"/>
          <cell r="F215" t="str">
            <v>Index</v>
          </cell>
          <cell r="G215">
            <v>8.7142195975881709</v>
          </cell>
        </row>
        <row r="216">
          <cell r="B216" t="str">
            <v xml:space="preserve"> Processing of Tea</v>
          </cell>
          <cell r="E216"/>
          <cell r="F216" t="str">
            <v>Geomean</v>
          </cell>
          <cell r="G216"/>
        </row>
        <row r="217">
          <cell r="A217">
            <v>1077</v>
          </cell>
          <cell r="B217" t="str">
            <v>UGANDA TEA CORPORATION KASAKU</v>
          </cell>
          <cell r="C217" t="str">
            <v>BLACK TEA</v>
          </cell>
          <cell r="D217" t="str">
            <v>Unbranded Tea(local consumption)</v>
          </cell>
          <cell r="E217" t="str">
            <v>Kilogram</v>
          </cell>
          <cell r="F217" t="str">
            <v>Shillings</v>
          </cell>
          <cell r="G217"/>
        </row>
        <row r="218">
          <cell r="A218">
            <v>1077</v>
          </cell>
          <cell r="B218" t="str">
            <v>RWENZORI COMMODITIES LTD</v>
          </cell>
          <cell r="C218" t="str">
            <v>Mukwano Gold</v>
          </cell>
          <cell r="D218" t="str">
            <v>225 grams</v>
          </cell>
          <cell r="E218" t="str">
            <v>Carton</v>
          </cell>
          <cell r="F218" t="str">
            <v>Shillings</v>
          </cell>
          <cell r="G218"/>
        </row>
        <row r="219">
          <cell r="A219">
            <v>1077</v>
          </cell>
          <cell r="B219" t="str">
            <v>RWENZORI COMMODITIES LTD</v>
          </cell>
          <cell r="C219" t="str">
            <v>50g Tea bags mukwano Tea</v>
          </cell>
          <cell r="D219" t="str">
            <v>50g Tea bags mukwano Tea</v>
          </cell>
          <cell r="E219" t="str">
            <v>600 Tea bags (carton)</v>
          </cell>
          <cell r="F219" t="str">
            <v>Shillings</v>
          </cell>
          <cell r="G219"/>
        </row>
        <row r="220">
          <cell r="A220">
            <v>1077</v>
          </cell>
          <cell r="B220" t="str">
            <v>RWENZORI COMMODITIES LTD</v>
          </cell>
          <cell r="C220" t="str">
            <v>Rwenzori Gold (Golden Tea)</v>
          </cell>
          <cell r="D220" t="str">
            <v>250g Golden Tea1</v>
          </cell>
          <cell r="E220" t="str">
            <v>Carton</v>
          </cell>
          <cell r="F220" t="str">
            <v>Shillings</v>
          </cell>
          <cell r="G220"/>
        </row>
        <row r="221">
          <cell r="A221">
            <v>1077</v>
          </cell>
          <cell r="B221" t="str">
            <v>RWENZORI COMMODITIES LTD</v>
          </cell>
          <cell r="C221" t="str">
            <v>Family Tea</v>
          </cell>
          <cell r="D221" t="str">
            <v>500 gram</v>
          </cell>
          <cell r="E221" t="str">
            <v>Carton</v>
          </cell>
          <cell r="F221" t="str">
            <v>Shillings</v>
          </cell>
          <cell r="G221"/>
        </row>
        <row r="222">
          <cell r="A222">
            <v>1077</v>
          </cell>
          <cell r="B222" t="str">
            <v>KAYONZA TEA FACTORY</v>
          </cell>
          <cell r="C222" t="str">
            <v>BP1</v>
          </cell>
          <cell r="D222" t="str">
            <v>BP1</v>
          </cell>
          <cell r="E222" t="str">
            <v>kg</v>
          </cell>
          <cell r="F222" t="str">
            <v>Shillings</v>
          </cell>
          <cell r="G222"/>
        </row>
        <row r="223">
          <cell r="A223">
            <v>1077</v>
          </cell>
          <cell r="B223" t="str">
            <v>KAYONZA TEA FACTORY</v>
          </cell>
          <cell r="C223" t="str">
            <v>PF1</v>
          </cell>
          <cell r="D223" t="str">
            <v>PF1</v>
          </cell>
          <cell r="E223" t="str">
            <v>kg</v>
          </cell>
          <cell r="F223" t="str">
            <v>Shillings</v>
          </cell>
          <cell r="G223"/>
        </row>
        <row r="224">
          <cell r="A224">
            <v>1077</v>
          </cell>
          <cell r="B224" t="str">
            <v>KAYONZA TEA FACTORY</v>
          </cell>
          <cell r="C224" t="str">
            <v>PD</v>
          </cell>
          <cell r="D224" t="str">
            <v>PD</v>
          </cell>
          <cell r="E224" t="str">
            <v>kg</v>
          </cell>
          <cell r="F224" t="str">
            <v>Shillings</v>
          </cell>
          <cell r="G224"/>
        </row>
        <row r="225">
          <cell r="A225">
            <v>1077</v>
          </cell>
          <cell r="B225" t="str">
            <v>KAYONZA TEA FACTORY</v>
          </cell>
          <cell r="C225" t="str">
            <v>PF</v>
          </cell>
          <cell r="D225" t="str">
            <v>PF</v>
          </cell>
          <cell r="E225" t="str">
            <v>kg</v>
          </cell>
          <cell r="F225" t="str">
            <v>Shillings</v>
          </cell>
          <cell r="G225"/>
        </row>
        <row r="226">
          <cell r="A226">
            <v>1077</v>
          </cell>
          <cell r="B226" t="str">
            <v>KAYONZA TEA FACTORY</v>
          </cell>
          <cell r="C226" t="str">
            <v>BP</v>
          </cell>
          <cell r="D226" t="str">
            <v>BP</v>
          </cell>
          <cell r="E226" t="str">
            <v>kg</v>
          </cell>
          <cell r="F226" t="str">
            <v>Shillings</v>
          </cell>
          <cell r="G226"/>
        </row>
        <row r="227">
          <cell r="A227">
            <v>1077</v>
          </cell>
          <cell r="B227" t="str">
            <v>KAYONZA TEA FACTORY</v>
          </cell>
          <cell r="C227" t="str">
            <v>D</v>
          </cell>
          <cell r="D227" t="str">
            <v>D</v>
          </cell>
          <cell r="E227" t="str">
            <v>kg</v>
          </cell>
          <cell r="F227" t="str">
            <v>Shillings</v>
          </cell>
          <cell r="G227"/>
        </row>
        <row r="228">
          <cell r="A228">
            <v>1077</v>
          </cell>
          <cell r="B228" t="str">
            <v>KAYONZA TEA FACTORY</v>
          </cell>
          <cell r="C228" t="str">
            <v>PF2</v>
          </cell>
          <cell r="D228" t="str">
            <v>PF2</v>
          </cell>
          <cell r="E228" t="str">
            <v>kg</v>
          </cell>
          <cell r="F228" t="str">
            <v>Shillings</v>
          </cell>
          <cell r="G228"/>
        </row>
        <row r="229">
          <cell r="A229">
            <v>1077</v>
          </cell>
          <cell r="B229" t="str">
            <v>KAYONZA TEA FACTORY</v>
          </cell>
          <cell r="C229" t="str">
            <v>F1</v>
          </cell>
          <cell r="D229" t="str">
            <v>F1</v>
          </cell>
          <cell r="E229" t="str">
            <v>kg</v>
          </cell>
          <cell r="F229" t="str">
            <v>Shillings</v>
          </cell>
          <cell r="G229"/>
        </row>
        <row r="230">
          <cell r="A230">
            <v>1077</v>
          </cell>
          <cell r="B230" t="str">
            <v>KAYONZA TEA FACTORY</v>
          </cell>
          <cell r="C230" t="str">
            <v>FNG</v>
          </cell>
          <cell r="D230" t="str">
            <v>FNG</v>
          </cell>
          <cell r="E230" t="str">
            <v>kg</v>
          </cell>
          <cell r="F230" t="str">
            <v>Shillings</v>
          </cell>
          <cell r="G230"/>
        </row>
        <row r="231">
          <cell r="A231">
            <v>1077</v>
          </cell>
          <cell r="B231" t="str">
            <v>KAYONZA TEA FACTORY</v>
          </cell>
          <cell r="C231" t="str">
            <v>BMF</v>
          </cell>
          <cell r="D231" t="str">
            <v>BMF</v>
          </cell>
          <cell r="E231" t="str">
            <v>kg</v>
          </cell>
          <cell r="F231" t="str">
            <v>Shillings</v>
          </cell>
          <cell r="G231"/>
        </row>
        <row r="232">
          <cell r="A232">
            <v>1077</v>
          </cell>
          <cell r="B232" t="str">
            <v>IGARA TEA FACTORY</v>
          </cell>
          <cell r="C232" t="str">
            <v>BP1</v>
          </cell>
          <cell r="D232" t="str">
            <v>BP1</v>
          </cell>
          <cell r="E232" t="str">
            <v>kg</v>
          </cell>
          <cell r="F232" t="str">
            <v>Shillings</v>
          </cell>
          <cell r="G232"/>
        </row>
        <row r="233">
          <cell r="A233">
            <v>1077</v>
          </cell>
          <cell r="B233" t="str">
            <v>IGARA TEA FACTORY</v>
          </cell>
          <cell r="C233" t="str">
            <v>PF1</v>
          </cell>
          <cell r="D233" t="str">
            <v>PF1</v>
          </cell>
          <cell r="E233" t="str">
            <v>kg</v>
          </cell>
          <cell r="F233" t="str">
            <v>Shillings</v>
          </cell>
          <cell r="G233"/>
        </row>
        <row r="234">
          <cell r="A234">
            <v>1077</v>
          </cell>
          <cell r="B234" t="str">
            <v>IGARA TEA FACTORY</v>
          </cell>
          <cell r="C234" t="str">
            <v>PD</v>
          </cell>
          <cell r="D234" t="str">
            <v>PD</v>
          </cell>
          <cell r="E234" t="str">
            <v>kg</v>
          </cell>
          <cell r="F234" t="str">
            <v>Shillings</v>
          </cell>
          <cell r="G234"/>
        </row>
        <row r="235">
          <cell r="A235">
            <v>1077</v>
          </cell>
          <cell r="B235" t="str">
            <v>IGARA TEA FACTORY</v>
          </cell>
          <cell r="C235" t="str">
            <v>D1</v>
          </cell>
          <cell r="D235" t="str">
            <v>D1</v>
          </cell>
          <cell r="E235" t="str">
            <v>kg</v>
          </cell>
          <cell r="F235" t="str">
            <v>Shillings</v>
          </cell>
          <cell r="G235"/>
        </row>
        <row r="236">
          <cell r="A236">
            <v>1077</v>
          </cell>
          <cell r="B236" t="str">
            <v>IGARA TEA FACTORY</v>
          </cell>
          <cell r="C236" t="str">
            <v>BP</v>
          </cell>
          <cell r="D236" t="str">
            <v>BP</v>
          </cell>
          <cell r="E236" t="str">
            <v>kg</v>
          </cell>
          <cell r="F236" t="str">
            <v>Shillings</v>
          </cell>
          <cell r="G236"/>
        </row>
        <row r="237">
          <cell r="A237">
            <v>1077</v>
          </cell>
          <cell r="B237" t="str">
            <v>IGARA TEA FACTORY</v>
          </cell>
          <cell r="C237" t="str">
            <v>PF</v>
          </cell>
          <cell r="D237" t="str">
            <v>PF</v>
          </cell>
          <cell r="E237" t="str">
            <v>kg</v>
          </cell>
          <cell r="F237" t="str">
            <v>Shillings</v>
          </cell>
          <cell r="G237"/>
        </row>
        <row r="238">
          <cell r="A238">
            <v>1077</v>
          </cell>
          <cell r="B238" t="str">
            <v>IGARA TEA FACTORY</v>
          </cell>
          <cell r="C238" t="str">
            <v>D</v>
          </cell>
          <cell r="D238" t="str">
            <v>D</v>
          </cell>
          <cell r="E238" t="str">
            <v>kg</v>
          </cell>
          <cell r="F238" t="str">
            <v>Shillings</v>
          </cell>
          <cell r="G238"/>
        </row>
        <row r="239">
          <cell r="A239">
            <v>1077</v>
          </cell>
          <cell r="B239" t="str">
            <v>IGARA TEA FACTORY</v>
          </cell>
          <cell r="C239" t="str">
            <v>PF2</v>
          </cell>
          <cell r="D239" t="str">
            <v>PF2</v>
          </cell>
          <cell r="E239" t="str">
            <v>kg</v>
          </cell>
          <cell r="F239" t="str">
            <v>Shillings</v>
          </cell>
          <cell r="G239"/>
        </row>
        <row r="240">
          <cell r="A240">
            <v>1077</v>
          </cell>
          <cell r="B240" t="str">
            <v>IGARA TEA FACTORY</v>
          </cell>
          <cell r="C240" t="str">
            <v>F1</v>
          </cell>
          <cell r="D240" t="str">
            <v>F1</v>
          </cell>
          <cell r="E240" t="str">
            <v>kg</v>
          </cell>
          <cell r="F240" t="str">
            <v>Shillings</v>
          </cell>
          <cell r="G240"/>
        </row>
        <row r="241">
          <cell r="A241">
            <v>1077</v>
          </cell>
          <cell r="B241" t="str">
            <v>IGARA TEA FACTORY</v>
          </cell>
          <cell r="C241" t="str">
            <v>FNG</v>
          </cell>
          <cell r="D241" t="str">
            <v>FNG</v>
          </cell>
          <cell r="E241" t="str">
            <v>kg</v>
          </cell>
          <cell r="F241" t="str">
            <v>Shillings</v>
          </cell>
          <cell r="G241"/>
        </row>
        <row r="242">
          <cell r="A242">
            <v>1077</v>
          </cell>
          <cell r="B242" t="str">
            <v>IGARA TEA FACTORY</v>
          </cell>
          <cell r="C242" t="str">
            <v>BMF</v>
          </cell>
          <cell r="D242" t="str">
            <v>BMF</v>
          </cell>
          <cell r="E242" t="str">
            <v>kg</v>
          </cell>
          <cell r="F242" t="str">
            <v>Shillings</v>
          </cell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 t="str">
            <v>1079</v>
          </cell>
          <cell r="B244" t="str">
            <v xml:space="preserve"> Manufacture of other food products n.e.c.</v>
          </cell>
          <cell r="E244"/>
          <cell r="F244" t="str">
            <v>Index</v>
          </cell>
          <cell r="G244">
            <v>22.7433092031056</v>
          </cell>
        </row>
        <row r="245">
          <cell r="B245" t="str">
            <v xml:space="preserve"> Manufacture of other food products n.e.c.</v>
          </cell>
          <cell r="C245"/>
          <cell r="F245" t="str">
            <v>Geomean</v>
          </cell>
          <cell r="G245"/>
        </row>
        <row r="246">
          <cell r="A246">
            <v>1079</v>
          </cell>
          <cell r="B246" t="str">
            <v>MARIKA AFRICA SWEETS LIMITED</v>
          </cell>
          <cell r="C246" t="str">
            <v>ICING SUGAR</v>
          </cell>
          <cell r="D246" t="str">
            <v>Icing sugar in grams</v>
          </cell>
          <cell r="E246" t="str">
            <v>One carton of 36 packets</v>
          </cell>
          <cell r="F246" t="str">
            <v>Shillings</v>
          </cell>
          <cell r="G246"/>
        </row>
        <row r="247">
          <cell r="A247">
            <v>1079</v>
          </cell>
          <cell r="B247" t="str">
            <v>MAC DOUGH FOODS (U) LTD</v>
          </cell>
          <cell r="C247" t="str">
            <v>TOMATO SAUCE</v>
          </cell>
          <cell r="D247" t="str">
            <v xml:space="preserve"> 4*5Kg</v>
          </cell>
          <cell r="E247" t="str">
            <v>carton of 20litre</v>
          </cell>
          <cell r="F247" t="str">
            <v>Shillings</v>
          </cell>
          <cell r="G247"/>
        </row>
        <row r="248">
          <cell r="A248">
            <v>1079</v>
          </cell>
          <cell r="B248" t="str">
            <v>MAC DOUGH FOODS (U) LTD</v>
          </cell>
          <cell r="C248" t="str">
            <v>TOMATO SAUCE</v>
          </cell>
          <cell r="D248" t="str">
            <v>SACHETS 22g</v>
          </cell>
          <cell r="E248" t="str">
            <v>packet</v>
          </cell>
          <cell r="F248" t="str">
            <v>Shillings</v>
          </cell>
          <cell r="G248"/>
        </row>
        <row r="249">
          <cell r="A249">
            <v>1079</v>
          </cell>
          <cell r="B249" t="str">
            <v>MAC DOUGH FOODS (U) LTD</v>
          </cell>
          <cell r="C249" t="str">
            <v>TOMATO SAUCE</v>
          </cell>
          <cell r="D249" t="str">
            <v>24*360g</v>
          </cell>
          <cell r="E249" t="str">
            <v>carton of plastic bottles</v>
          </cell>
          <cell r="F249" t="str">
            <v>Shillings</v>
          </cell>
          <cell r="G249"/>
        </row>
        <row r="250">
          <cell r="A250">
            <v>1079</v>
          </cell>
          <cell r="B250" t="str">
            <v>MAC DOUGH FOODS (U) LTD</v>
          </cell>
          <cell r="C250" t="str">
            <v>CHIILI SAUCE</v>
          </cell>
          <cell r="D250" t="str">
            <v>4*5Kg</v>
          </cell>
          <cell r="E250" t="str">
            <v>jerrycan</v>
          </cell>
          <cell r="F250" t="str">
            <v>Shillings</v>
          </cell>
          <cell r="G250"/>
        </row>
        <row r="251">
          <cell r="A251">
            <v>1079</v>
          </cell>
          <cell r="B251" t="str">
            <v>MAC DOUGH FOODS (U) LTD</v>
          </cell>
          <cell r="C251" t="str">
            <v>CHIILI SAUCE</v>
          </cell>
          <cell r="D251" t="str">
            <v>15g</v>
          </cell>
          <cell r="E251" t="str">
            <v>sachets</v>
          </cell>
          <cell r="F251" t="str">
            <v>Shillings</v>
          </cell>
          <cell r="G251"/>
        </row>
        <row r="252">
          <cell r="A252">
            <v>1079</v>
          </cell>
          <cell r="B252" t="str">
            <v>MAC DOUGH FOODS (U) LTD</v>
          </cell>
          <cell r="C252" t="str">
            <v>CHIILI SAUCE</v>
          </cell>
          <cell r="D252" t="str">
            <v>24*260g</v>
          </cell>
          <cell r="E252" t="str">
            <v>cartons</v>
          </cell>
          <cell r="F252" t="str">
            <v>Shillings</v>
          </cell>
          <cell r="G252"/>
        </row>
        <row r="253">
          <cell r="A253">
            <v>1079</v>
          </cell>
          <cell r="B253" t="str">
            <v>HANTS FOODS AND BEVERAGES LIMITED</v>
          </cell>
          <cell r="C253" t="str">
            <v>Tomato sauce</v>
          </cell>
          <cell r="D253" t="str">
            <v>400g</v>
          </cell>
          <cell r="E253" t="str">
            <v>carton</v>
          </cell>
          <cell r="F253" t="str">
            <v>Shillings</v>
          </cell>
          <cell r="G253"/>
        </row>
        <row r="254">
          <cell r="A254">
            <v>1079</v>
          </cell>
          <cell r="B254" t="str">
            <v>HANTS FOODS AND BEVERAGES LIMITED</v>
          </cell>
          <cell r="C254" t="str">
            <v>Tomato sauce</v>
          </cell>
          <cell r="D254" t="str">
            <v>700g</v>
          </cell>
          <cell r="E254" t="str">
            <v>carton</v>
          </cell>
          <cell r="F254" t="str">
            <v>Shillings</v>
          </cell>
          <cell r="G254"/>
        </row>
        <row r="255">
          <cell r="A255">
            <v>1079</v>
          </cell>
          <cell r="B255" t="str">
            <v>HANTS FOODS AND BEVERAGES LIMITED</v>
          </cell>
          <cell r="C255" t="str">
            <v>Tomato sauce</v>
          </cell>
          <cell r="D255" t="str">
            <v>1kg</v>
          </cell>
          <cell r="E255" t="str">
            <v>carton</v>
          </cell>
          <cell r="F255" t="str">
            <v>Shillings</v>
          </cell>
          <cell r="G255"/>
        </row>
        <row r="256">
          <cell r="A256">
            <v>1079</v>
          </cell>
          <cell r="B256" t="str">
            <v>HANTS FOODS AND BEVERAGES LIMITED</v>
          </cell>
          <cell r="C256" t="str">
            <v>Tomato sauce</v>
          </cell>
          <cell r="D256" t="str">
            <v>5kg</v>
          </cell>
          <cell r="E256" t="str">
            <v>carton</v>
          </cell>
          <cell r="F256" t="str">
            <v>Shillings</v>
          </cell>
          <cell r="G256"/>
        </row>
        <row r="257">
          <cell r="A257">
            <v>1079</v>
          </cell>
          <cell r="B257" t="str">
            <v>HANTS FOODS AND BEVERAGES LIMITED</v>
          </cell>
          <cell r="C257" t="str">
            <v>Chilli sauce</v>
          </cell>
          <cell r="D257" t="str">
            <v>260g</v>
          </cell>
          <cell r="E257" t="str">
            <v>carton</v>
          </cell>
          <cell r="F257" t="str">
            <v>Shillings</v>
          </cell>
          <cell r="G257"/>
        </row>
        <row r="258">
          <cell r="A258">
            <v>1079</v>
          </cell>
          <cell r="B258" t="str">
            <v>HANTS FOODS AND BEVERAGES LIMITED</v>
          </cell>
          <cell r="C258" t="str">
            <v>Chilli sauce</v>
          </cell>
          <cell r="D258" t="str">
            <v>5kgs</v>
          </cell>
          <cell r="E258" t="str">
            <v>carton</v>
          </cell>
          <cell r="F258" t="str">
            <v>Shillings</v>
          </cell>
          <cell r="G258"/>
        </row>
        <row r="259">
          <cell r="A259">
            <v>1079</v>
          </cell>
          <cell r="B259" t="str">
            <v>HANTS FOODS AND BEVERAGES LIMITED</v>
          </cell>
          <cell r="C259" t="str">
            <v>Ketchup</v>
          </cell>
          <cell r="D259" t="str">
            <v>400g</v>
          </cell>
          <cell r="E259" t="str">
            <v>carton</v>
          </cell>
          <cell r="F259" t="str">
            <v>Shillings</v>
          </cell>
          <cell r="G259"/>
        </row>
        <row r="260">
          <cell r="A260">
            <v>1079</v>
          </cell>
          <cell r="B260" t="str">
            <v>HANTS FOODS AND BEVERAGES LIMITED</v>
          </cell>
          <cell r="C260" t="str">
            <v>Ketchup</v>
          </cell>
          <cell r="D260" t="str">
            <v>700g</v>
          </cell>
          <cell r="E260" t="str">
            <v>carton</v>
          </cell>
          <cell r="F260" t="str">
            <v>Shillings</v>
          </cell>
          <cell r="G260"/>
        </row>
        <row r="261">
          <cell r="A261">
            <v>1079</v>
          </cell>
          <cell r="B261" t="str">
            <v>HANTS FOODS AND BEVERAGES LIMITED</v>
          </cell>
          <cell r="C261" t="str">
            <v>Ketchup</v>
          </cell>
          <cell r="D261" t="str">
            <v>1kg</v>
          </cell>
          <cell r="E261" t="str">
            <v>carton</v>
          </cell>
          <cell r="F261" t="str">
            <v>Shillings</v>
          </cell>
          <cell r="G261"/>
        </row>
        <row r="262">
          <cell r="A262">
            <v>1079</v>
          </cell>
          <cell r="B262" t="str">
            <v>HANTS FOODS AND BEVERAGES LIMITED</v>
          </cell>
          <cell r="C262" t="str">
            <v>Ketchup</v>
          </cell>
          <cell r="D262" t="str">
            <v>5kg</v>
          </cell>
          <cell r="E262" t="str">
            <v>carton</v>
          </cell>
          <cell r="F262" t="str">
            <v>Shillings</v>
          </cell>
          <cell r="G262"/>
        </row>
        <row r="263">
          <cell r="A263">
            <v>1079</v>
          </cell>
          <cell r="B263" t="str">
            <v>KAKIRA SUGAR LIMITED</v>
          </cell>
          <cell r="C263" t="str">
            <v>Lolipop</v>
          </cell>
          <cell r="D263" t="str">
            <v>Lolipop</v>
          </cell>
          <cell r="E263" t="str">
            <v>Kilogram</v>
          </cell>
          <cell r="F263" t="str">
            <v>Shillings</v>
          </cell>
          <cell r="G263"/>
        </row>
        <row r="264">
          <cell r="A264">
            <v>1079</v>
          </cell>
          <cell r="B264" t="str">
            <v>MARIKA AFRICA SWEETS LIMITED</v>
          </cell>
          <cell r="C264" t="str">
            <v>SWEETS</v>
          </cell>
          <cell r="D264" t="str">
            <v>Hard boiled sweets</v>
          </cell>
          <cell r="E264" t="str">
            <v>Carton of 30 packets</v>
          </cell>
          <cell r="F264" t="str">
            <v>Shillings</v>
          </cell>
          <cell r="G264"/>
        </row>
        <row r="265">
          <cell r="A265">
            <v>1079</v>
          </cell>
          <cell r="B265" t="str">
            <v>BRITANIA ALLIED (U) LIMITED</v>
          </cell>
          <cell r="C265" t="str">
            <v>Splash</v>
          </cell>
          <cell r="D265" t="str">
            <v>Splash 250ml</v>
          </cell>
          <cell r="E265" t="str">
            <v>24x250 ML (carton)</v>
          </cell>
          <cell r="F265" t="str">
            <v>Shillings</v>
          </cell>
          <cell r="G265"/>
        </row>
        <row r="266">
          <cell r="A266">
            <v>1079</v>
          </cell>
          <cell r="B266" t="str">
            <v>BRITANIA ALLIED (U) LIMITED</v>
          </cell>
          <cell r="C266" t="str">
            <v>SunSip</v>
          </cell>
          <cell r="D266" t="str">
            <v>5 Ltrs*4 pieces</v>
          </cell>
          <cell r="E266" t="str">
            <v>Litres</v>
          </cell>
          <cell r="F266" t="str">
            <v>Shillings</v>
          </cell>
          <cell r="G266"/>
        </row>
        <row r="267">
          <cell r="A267">
            <v>1079</v>
          </cell>
          <cell r="B267" t="str">
            <v>MAC DOUGH FOODS (U) LTD</v>
          </cell>
          <cell r="C267" t="str">
            <v>JUICE</v>
          </cell>
          <cell r="D267" t="str">
            <v>Mango Juice 500mls</v>
          </cell>
          <cell r="E267" t="str">
            <v>carton</v>
          </cell>
          <cell r="F267" t="str">
            <v>Shillings</v>
          </cell>
          <cell r="G267"/>
        </row>
        <row r="268">
          <cell r="A268">
            <v>1079</v>
          </cell>
          <cell r="B268" t="str">
            <v>PSALMS FOOD INDUSTRIES LIMITED</v>
          </cell>
          <cell r="C268" t="str">
            <v>Corn Crax</v>
          </cell>
          <cell r="D268" t="str">
            <v>SUMZ Maize Corn(80gms)</v>
          </cell>
          <cell r="E268" t="str">
            <v>grams</v>
          </cell>
          <cell r="F268" t="str">
            <v>Shillings</v>
          </cell>
          <cell r="G268"/>
        </row>
        <row r="269">
          <cell r="A269">
            <v>1079</v>
          </cell>
          <cell r="B269" t="str">
            <v>PSALMS FOOD INDUSTRIES LIMITED</v>
          </cell>
          <cell r="C269" t="str">
            <v>Corn Crax</v>
          </cell>
          <cell r="D269" t="str">
            <v>SUMZ Maize Corn(160gms)</v>
          </cell>
          <cell r="E269" t="str">
            <v>grams</v>
          </cell>
          <cell r="F269" t="str">
            <v>Shillings</v>
          </cell>
          <cell r="G269"/>
        </row>
        <row r="270">
          <cell r="A270">
            <v>1079</v>
          </cell>
          <cell r="B270" t="str">
            <v>PSALMS FOOD INDUSTRIES LIMITED</v>
          </cell>
          <cell r="C270" t="str">
            <v>Gnuts</v>
          </cell>
          <cell r="D270" t="str">
            <v>SUMZ groundnuts(120gms)</v>
          </cell>
          <cell r="E270" t="str">
            <v>grams</v>
          </cell>
          <cell r="F270" t="str">
            <v>Shillings</v>
          </cell>
          <cell r="G270"/>
        </row>
        <row r="271">
          <cell r="A271">
            <v>1079</v>
          </cell>
          <cell r="B271" t="str">
            <v>PSALMS FOOD INDUSTRIES LIMITED</v>
          </cell>
          <cell r="C271" t="str">
            <v>Daddies</v>
          </cell>
          <cell r="D271" t="str">
            <v>SUMZ Daddies(150gms)</v>
          </cell>
          <cell r="E271" t="str">
            <v>grams</v>
          </cell>
          <cell r="F271" t="str">
            <v>Shillings</v>
          </cell>
          <cell r="G271"/>
        </row>
        <row r="273">
          <cell r="B273" t="str">
            <v xml:space="preserve"> Manufacture of prepared animal feeds</v>
          </cell>
          <cell r="F273" t="str">
            <v>Index</v>
          </cell>
          <cell r="G273">
            <v>19.404789226877501</v>
          </cell>
        </row>
        <row r="274">
          <cell r="A274" t="str">
            <v>1080</v>
          </cell>
          <cell r="B274" t="str">
            <v xml:space="preserve"> Manufacture of prepared animal feeds</v>
          </cell>
          <cell r="F274" t="str">
            <v>Geomean</v>
          </cell>
        </row>
        <row r="275">
          <cell r="A275">
            <v>1080</v>
          </cell>
          <cell r="B275" t="str">
            <v>UGACHICK POULTRY BREEDERS LIMITED</v>
          </cell>
          <cell r="C275" t="str">
            <v>Poultry Feeds</v>
          </cell>
          <cell r="D275" t="str">
            <v>Chick &amp; Duck Mash(70kg)</v>
          </cell>
          <cell r="E275" t="str">
            <v>70 Kilogram bag</v>
          </cell>
          <cell r="F275" t="str">
            <v>Shillings</v>
          </cell>
          <cell r="G275"/>
        </row>
        <row r="276">
          <cell r="A276">
            <v>1080</v>
          </cell>
          <cell r="B276" t="str">
            <v>UGACHICK POULTRY BREEDERS LIMITED</v>
          </cell>
          <cell r="C276" t="str">
            <v>Poultry Feeds</v>
          </cell>
          <cell r="D276" t="str">
            <v>Growers Mash(70kg)</v>
          </cell>
          <cell r="E276" t="str">
            <v>70 Kilogram bag</v>
          </cell>
          <cell r="F276" t="str">
            <v>Shillings</v>
          </cell>
          <cell r="G276"/>
        </row>
        <row r="277">
          <cell r="A277">
            <v>1080</v>
          </cell>
          <cell r="B277" t="str">
            <v>UGACHICK POULTRY BREEDERS LIMITED</v>
          </cell>
          <cell r="C277" t="str">
            <v>Poultry Feeds</v>
          </cell>
          <cell r="D277" t="str">
            <v>Layers Mash(70kg)</v>
          </cell>
          <cell r="E277" t="str">
            <v>70 Kilogram bag</v>
          </cell>
          <cell r="F277" t="str">
            <v>Shillings</v>
          </cell>
          <cell r="G277"/>
        </row>
        <row r="278">
          <cell r="A278">
            <v>1080</v>
          </cell>
          <cell r="B278" t="str">
            <v>UGACHICK POULTRY BREEDERS LIMITED</v>
          </cell>
          <cell r="C278" t="str">
            <v>Poultry Feeds</v>
          </cell>
          <cell r="D278" t="str">
            <v>Broiler Starter mash(70kg)</v>
          </cell>
          <cell r="E278" t="str">
            <v>70 Kilogram bag</v>
          </cell>
          <cell r="F278" t="str">
            <v>Shillings</v>
          </cell>
          <cell r="G278"/>
        </row>
        <row r="279">
          <cell r="A279">
            <v>1080</v>
          </cell>
          <cell r="B279" t="str">
            <v>UGACHICK POULTRY BREEDERS LIMITED</v>
          </cell>
          <cell r="C279" t="str">
            <v>Cattle Feeds</v>
          </cell>
          <cell r="D279" t="str">
            <v>Dairy Meal(70kg)</v>
          </cell>
          <cell r="E279" t="str">
            <v>70 Kilogram bag</v>
          </cell>
          <cell r="F279" t="str">
            <v>Shillings</v>
          </cell>
          <cell r="G279"/>
        </row>
        <row r="280">
          <cell r="A280">
            <v>1080</v>
          </cell>
          <cell r="B280" t="str">
            <v>UGACHICK POULTRY BREEDERS LIMITED</v>
          </cell>
          <cell r="C280" t="str">
            <v>Pig Feeds</v>
          </cell>
          <cell r="D280" t="str">
            <v>Sow and Weaner Mash-70kg</v>
          </cell>
          <cell r="E280" t="str">
            <v>70 Kilogram bag</v>
          </cell>
          <cell r="F280" t="str">
            <v>Shillings</v>
          </cell>
          <cell r="G280"/>
        </row>
        <row r="281">
          <cell r="A281">
            <v>1080</v>
          </cell>
          <cell r="B281" t="str">
            <v>ENGAANO MILLERS LIMITED (Nuvita)</v>
          </cell>
          <cell r="C281" t="str">
            <v>Nuvita (Crushed Mesh for Animal Feeds)</v>
          </cell>
          <cell r="D281" t="str">
            <v>animal feed</v>
          </cell>
          <cell r="E281" t="str">
            <v>70kg bag</v>
          </cell>
          <cell r="F281" t="str">
            <v>Shillings</v>
          </cell>
          <cell r="G281"/>
        </row>
        <row r="282">
          <cell r="A282">
            <v>1080</v>
          </cell>
          <cell r="B282" t="str">
            <v>ENGAANO MILLERS LIMITED (Nuvita)</v>
          </cell>
          <cell r="C282" t="str">
            <v>Nuvita (Crushed Mesh for Animal Feeds)</v>
          </cell>
          <cell r="D282" t="str">
            <v xml:space="preserve">Nuvita animal feeds </v>
          </cell>
          <cell r="E282" t="str">
            <v>10kg bag</v>
          </cell>
          <cell r="F282" t="str">
            <v>Shillings</v>
          </cell>
          <cell r="G282"/>
        </row>
        <row r="283">
          <cell r="A283"/>
          <cell r="B283"/>
          <cell r="C283"/>
          <cell r="D283"/>
          <cell r="E283"/>
          <cell r="F283"/>
          <cell r="G283"/>
        </row>
        <row r="284">
          <cell r="B284" t="str">
            <v>Manufacture of beverages</v>
          </cell>
        </row>
        <row r="285">
          <cell r="A285" t="str">
            <v>1101</v>
          </cell>
          <cell r="B285" t="str">
            <v xml:space="preserve"> Distilling, rectifying and blending of spirits</v>
          </cell>
          <cell r="F285" t="str">
            <v>Index</v>
          </cell>
          <cell r="G285">
            <v>19.781824999422501</v>
          </cell>
        </row>
        <row r="286">
          <cell r="B286" t="str">
            <v xml:space="preserve"> Distilling, rectifying and blending of spirits</v>
          </cell>
          <cell r="F286" t="str">
            <v>Geomean</v>
          </cell>
          <cell r="G286"/>
        </row>
        <row r="287">
          <cell r="A287">
            <v>1101</v>
          </cell>
          <cell r="B287" t="str">
            <v>BLUE NILE DISTILLERIES LIMITED</v>
          </cell>
          <cell r="C287" t="str">
            <v>UG  99*24</v>
          </cell>
          <cell r="D287" t="str">
            <v>200ml*24</v>
          </cell>
          <cell r="E287" t="str">
            <v>box</v>
          </cell>
          <cell r="F287" t="str">
            <v>Shillings</v>
          </cell>
          <cell r="G287"/>
        </row>
        <row r="288">
          <cell r="A288">
            <v>1101</v>
          </cell>
          <cell r="B288" t="str">
            <v>BLUE NILE DISTILLERIES LIMITED</v>
          </cell>
          <cell r="C288" t="str">
            <v>Orange Vodka</v>
          </cell>
          <cell r="D288" t="str">
            <v>200ml*24</v>
          </cell>
          <cell r="E288" t="str">
            <v>box</v>
          </cell>
          <cell r="F288" t="str">
            <v>Shillings</v>
          </cell>
          <cell r="G288"/>
        </row>
        <row r="289">
          <cell r="A289">
            <v>1101</v>
          </cell>
          <cell r="B289" t="str">
            <v>BLUE NILE DISTILLERIES LIMITED</v>
          </cell>
          <cell r="C289" t="str">
            <v>Empire Cane SPIRIT(100ML *60)</v>
          </cell>
          <cell r="D289" t="str">
            <v>200ml*2L</v>
          </cell>
          <cell r="E289" t="str">
            <v>box</v>
          </cell>
          <cell r="F289" t="str">
            <v>Shillings</v>
          </cell>
          <cell r="G289"/>
        </row>
        <row r="290">
          <cell r="A290">
            <v>1101</v>
          </cell>
          <cell r="B290" t="str">
            <v>BLUE NILE DISTILLERIES LIMITED</v>
          </cell>
          <cell r="C290" t="str">
            <v>EMPIRE CANE SPIRIT(200ML *24)</v>
          </cell>
          <cell r="D290" t="str">
            <v>200ml*24</v>
          </cell>
          <cell r="E290" t="str">
            <v>box</v>
          </cell>
          <cell r="F290" t="str">
            <v>Shillings</v>
          </cell>
          <cell r="G290"/>
        </row>
        <row r="291">
          <cell r="A291">
            <v>1101</v>
          </cell>
          <cell r="B291" t="str">
            <v>BLUE NILE DISTILLERIES LIMITED</v>
          </cell>
          <cell r="C291" t="str">
            <v>Alexandar Vodka</v>
          </cell>
          <cell r="D291" t="str">
            <v>200ml*24</v>
          </cell>
          <cell r="E291" t="str">
            <v>box</v>
          </cell>
          <cell r="F291" t="str">
            <v>Shillings</v>
          </cell>
          <cell r="G291"/>
        </row>
        <row r="292">
          <cell r="A292">
            <v>1101</v>
          </cell>
          <cell r="B292" t="str">
            <v>BRIGADE DISTILLERIES LIMITED</v>
          </cell>
          <cell r="C292" t="str">
            <v>Brigade Gin 100ml</v>
          </cell>
          <cell r="D292" t="str">
            <v xml:space="preserve">200mls x 24 Bottles </v>
          </cell>
          <cell r="E292" t="str">
            <v>Carton</v>
          </cell>
          <cell r="F292" t="str">
            <v>Shillings</v>
          </cell>
          <cell r="G292"/>
        </row>
        <row r="293">
          <cell r="A293">
            <v>1101</v>
          </cell>
          <cell r="B293" t="str">
            <v>BRIGADE DISTILLERIES LIMITED</v>
          </cell>
          <cell r="C293" t="str">
            <v>Kick Waragi GIN 100ml</v>
          </cell>
          <cell r="D293" t="str">
            <v xml:space="preserve">200mls x 29 Bottles </v>
          </cell>
          <cell r="E293" t="str">
            <v>Carton</v>
          </cell>
          <cell r="F293" t="str">
            <v>Shillings</v>
          </cell>
          <cell r="G293"/>
        </row>
        <row r="294">
          <cell r="A294">
            <v>1101</v>
          </cell>
          <cell r="B294" t="str">
            <v>BRIGADE DISTILLERIES LIMITED</v>
          </cell>
          <cell r="C294" t="str">
            <v>Splendour Tangawizi GIN 100ml</v>
          </cell>
          <cell r="D294" t="str">
            <v xml:space="preserve">200mls x 24 Bottles </v>
          </cell>
          <cell r="E294" t="str">
            <v>Carton</v>
          </cell>
          <cell r="F294" t="str">
            <v>Shillings</v>
          </cell>
          <cell r="G294"/>
        </row>
        <row r="295">
          <cell r="A295">
            <v>1101</v>
          </cell>
          <cell r="B295" t="str">
            <v>BRIGADE DISTILLERIES LIMITED</v>
          </cell>
          <cell r="C295" t="str">
            <v>Challenger VODKA 100ml</v>
          </cell>
          <cell r="D295" t="str">
            <v xml:space="preserve">200mls x 24 Bottles </v>
          </cell>
          <cell r="E295" t="str">
            <v>Carton</v>
          </cell>
          <cell r="F295" t="str">
            <v>Shillings</v>
          </cell>
          <cell r="G295"/>
        </row>
        <row r="296">
          <cell r="A296">
            <v>1101</v>
          </cell>
          <cell r="B296" t="str">
            <v>BRIGADE DISTILLERIES LIMITED</v>
          </cell>
          <cell r="C296" t="str">
            <v>Ruler GIN 100ml</v>
          </cell>
          <cell r="D296" t="str">
            <v xml:space="preserve">200mls x 24 Bottles </v>
          </cell>
          <cell r="E296" t="str">
            <v>Carton</v>
          </cell>
          <cell r="F296" t="str">
            <v>Shillings</v>
          </cell>
          <cell r="G296"/>
        </row>
        <row r="297">
          <cell r="A297">
            <v>1101</v>
          </cell>
          <cell r="B297" t="str">
            <v>PREMIER DISTILLERIES LIMITED</v>
          </cell>
          <cell r="C297" t="str">
            <v>Coffee Sprit</v>
          </cell>
          <cell r="D297" t="str">
            <v>COFFEE SPIRIT 100ML</v>
          </cell>
          <cell r="E297" t="str">
            <v>carton of 4.92 litres</v>
          </cell>
          <cell r="F297" t="str">
            <v>Shillings</v>
          </cell>
          <cell r="G297"/>
        </row>
        <row r="298">
          <cell r="A298">
            <v>1101</v>
          </cell>
          <cell r="B298" t="str">
            <v>PREMIER DISTILLERIES LIMITED</v>
          </cell>
          <cell r="C298" t="str">
            <v>Bluesky Vodka (Spirits)</v>
          </cell>
          <cell r="D298" t="str">
            <v>BLUE SKY VODKA 100ML</v>
          </cell>
          <cell r="E298" t="str">
            <v>carton of 4.92 litres</v>
          </cell>
          <cell r="F298" t="str">
            <v>Shillings</v>
          </cell>
          <cell r="G298"/>
        </row>
        <row r="299">
          <cell r="A299">
            <v>1101</v>
          </cell>
          <cell r="B299" t="str">
            <v>PREMIER DISTILLERIES LIMITED</v>
          </cell>
          <cell r="C299" t="str">
            <v>Simba Waragi</v>
          </cell>
          <cell r="D299" t="str">
            <v>SIMBA WARAGI 100ML</v>
          </cell>
          <cell r="E299" t="str">
            <v>carton of 4.92 litres</v>
          </cell>
          <cell r="F299" t="str">
            <v>Shillings</v>
          </cell>
          <cell r="G299"/>
        </row>
        <row r="300">
          <cell r="A300">
            <v>1101</v>
          </cell>
          <cell r="B300" t="str">
            <v>PREMIER DISTILLERIES LIMITED</v>
          </cell>
          <cell r="C300" t="str">
            <v>Spirits (Spice-Up)</v>
          </cell>
          <cell r="D300" t="str">
            <v>SPICE UP 100ML</v>
          </cell>
          <cell r="E300" t="str">
            <v>carton of 4.92 litres</v>
          </cell>
          <cell r="F300" t="str">
            <v>Shillings</v>
          </cell>
          <cell r="G300"/>
        </row>
        <row r="301">
          <cell r="A301">
            <v>1101</v>
          </cell>
          <cell r="B301" t="str">
            <v>PREMIDIS LTD</v>
          </cell>
          <cell r="C301" t="str">
            <v>Energin Gin</v>
          </cell>
          <cell r="D301" t="str">
            <v>100mls x 120 sachets</v>
          </cell>
          <cell r="E301" t="str">
            <v>carton</v>
          </cell>
          <cell r="F301" t="str">
            <v>Shillings</v>
          </cell>
          <cell r="G301"/>
        </row>
        <row r="302">
          <cell r="A302">
            <v>1101</v>
          </cell>
          <cell r="B302" t="str">
            <v>JOHN DISTILLERIES (U) LTD</v>
          </cell>
          <cell r="C302" t="str">
            <v>GIN</v>
          </cell>
          <cell r="D302" t="str">
            <v>X5GIN</v>
          </cell>
          <cell r="E302" t="str">
            <v>Carton of 24 200ml bottles</v>
          </cell>
          <cell r="F302" t="str">
            <v>Shillings</v>
          </cell>
          <cell r="G302"/>
        </row>
        <row r="303">
          <cell r="A303">
            <v>1101</v>
          </cell>
          <cell r="B303" t="str">
            <v>JOHN DISTILLERIES (U) LTD</v>
          </cell>
          <cell r="C303" t="str">
            <v>GIN</v>
          </cell>
          <cell r="D303" t="str">
            <v>JOHNIES GIN</v>
          </cell>
          <cell r="E303" t="str">
            <v>4.8L CARTON BOX</v>
          </cell>
          <cell r="F303" t="str">
            <v>Shillings</v>
          </cell>
          <cell r="G303"/>
        </row>
        <row r="304">
          <cell r="A304">
            <v>1101</v>
          </cell>
          <cell r="B304" t="str">
            <v>JOHN DISTILLERIES (U) LTD</v>
          </cell>
          <cell r="C304" t="str">
            <v>GIN</v>
          </cell>
          <cell r="D304" t="str">
            <v>CAMPFIRE GIN</v>
          </cell>
          <cell r="E304" t="str">
            <v>Carton of 24 (200ml bottles)</v>
          </cell>
          <cell r="F304" t="str">
            <v>Shillings</v>
          </cell>
          <cell r="G304"/>
        </row>
        <row r="305">
          <cell r="A305">
            <v>1101</v>
          </cell>
          <cell r="B305" t="str">
            <v>JOHN DISTILLERIES (U) LTD</v>
          </cell>
          <cell r="C305" t="str">
            <v>VODKA</v>
          </cell>
          <cell r="D305" t="str">
            <v>ZEN VODKA</v>
          </cell>
          <cell r="E305" t="str">
            <v>Carton of 24 (200ml bottles)</v>
          </cell>
          <cell r="F305" t="str">
            <v>Shillings</v>
          </cell>
          <cell r="G305"/>
        </row>
        <row r="306">
          <cell r="A306">
            <v>1101</v>
          </cell>
          <cell r="B306" t="str">
            <v>JOHN DISTILLERIES (U) LTD</v>
          </cell>
          <cell r="C306" t="str">
            <v>VODKA</v>
          </cell>
          <cell r="D306" t="str">
            <v>MARLEY</v>
          </cell>
          <cell r="E306" t="str">
            <v>Carton of 24 (200ml bottles)</v>
          </cell>
          <cell r="F306" t="str">
            <v>Shillings</v>
          </cell>
          <cell r="G306"/>
        </row>
        <row r="307">
          <cell r="A307">
            <v>1101</v>
          </cell>
          <cell r="B307" t="str">
            <v>JOHN DISTILLERIES (U) LTD</v>
          </cell>
          <cell r="C307" t="str">
            <v>VODKA</v>
          </cell>
          <cell r="D307" t="str">
            <v>YES</v>
          </cell>
          <cell r="E307" t="str">
            <v>Carton of 24 (200ml bottles)</v>
          </cell>
          <cell r="F307" t="str">
            <v>Shillings</v>
          </cell>
          <cell r="G307"/>
        </row>
        <row r="308">
          <cell r="A308">
            <v>1101</v>
          </cell>
          <cell r="B308" t="str">
            <v>JOHN DISTILLERIES (U) LTD</v>
          </cell>
          <cell r="C308" t="str">
            <v>VODKA</v>
          </cell>
          <cell r="D308" t="str">
            <v>OLA</v>
          </cell>
          <cell r="E308" t="str">
            <v>Carton of 24 (200ml bottles)</v>
          </cell>
          <cell r="F308" t="str">
            <v>Shillings</v>
          </cell>
          <cell r="G308"/>
        </row>
        <row r="309">
          <cell r="A309">
            <v>1101</v>
          </cell>
          <cell r="B309" t="str">
            <v>JOHN DISTILLERIES (U) LTD</v>
          </cell>
          <cell r="C309" t="str">
            <v>WHISKY</v>
          </cell>
          <cell r="D309" t="str">
            <v>X5 WHISKY</v>
          </cell>
          <cell r="E309" t="str">
            <v>Carton of 24 (200ml bottles)</v>
          </cell>
          <cell r="F309" t="str">
            <v>Shillings</v>
          </cell>
          <cell r="G309"/>
        </row>
        <row r="310">
          <cell r="A310">
            <v>1101</v>
          </cell>
          <cell r="B310" t="str">
            <v>UGANDA BREWERIES LIMITED</v>
          </cell>
          <cell r="C310" t="str">
            <v>Spirits</v>
          </cell>
          <cell r="D310" t="str">
            <v>Uganda Waragi</v>
          </cell>
          <cell r="E310" t="str">
            <v>200ml Plastic bottle</v>
          </cell>
          <cell r="F310" t="str">
            <v>Shillings</v>
          </cell>
          <cell r="G310"/>
        </row>
        <row r="311">
          <cell r="A311">
            <v>1101</v>
          </cell>
          <cell r="B311" t="str">
            <v>UGANDA BREWERIES LIMITED</v>
          </cell>
          <cell r="C311" t="str">
            <v>Spirits</v>
          </cell>
          <cell r="D311" t="str">
            <v>Uganda Waragi</v>
          </cell>
          <cell r="E311" t="str">
            <v>200ml Glass bottle</v>
          </cell>
          <cell r="F311" t="str">
            <v>Shillings</v>
          </cell>
          <cell r="G311"/>
        </row>
        <row r="312">
          <cell r="A312">
            <v>1101</v>
          </cell>
          <cell r="B312" t="str">
            <v>UGANDA BREWERIES LIMITED</v>
          </cell>
          <cell r="C312" t="str">
            <v>Spirits</v>
          </cell>
          <cell r="D312" t="str">
            <v>Bond 7</v>
          </cell>
          <cell r="E312" t="str">
            <v>200ml Plastic bottle</v>
          </cell>
          <cell r="F312" t="str">
            <v>Shillings</v>
          </cell>
          <cell r="G312"/>
        </row>
        <row r="313">
          <cell r="A313">
            <v>1101</v>
          </cell>
          <cell r="B313" t="str">
            <v>UGANDA BREWERIES LIMITED</v>
          </cell>
          <cell r="C313" t="str">
            <v>Spirits</v>
          </cell>
          <cell r="D313" t="str">
            <v>Bond 8</v>
          </cell>
          <cell r="E313" t="str">
            <v>200ml Glass bottle</v>
          </cell>
          <cell r="F313" t="str">
            <v>Shillings</v>
          </cell>
          <cell r="G313"/>
        </row>
        <row r="314">
          <cell r="A314">
            <v>1101</v>
          </cell>
          <cell r="B314" t="str">
            <v>UGANDA BREWERIES LIMITED</v>
          </cell>
          <cell r="C314" t="str">
            <v>Spirits</v>
          </cell>
          <cell r="D314" t="str">
            <v>V&amp;A</v>
          </cell>
          <cell r="E314" t="str">
            <v>200ml Glass bottle</v>
          </cell>
          <cell r="F314" t="str">
            <v>Shillings</v>
          </cell>
          <cell r="G314"/>
        </row>
        <row r="315">
          <cell r="A315">
            <v>1101</v>
          </cell>
          <cell r="B315" t="str">
            <v>UGANDA BREWERIES LIMITED</v>
          </cell>
          <cell r="C315" t="str">
            <v>Spirits</v>
          </cell>
          <cell r="D315" t="str">
            <v>Johnnie Walker Black label</v>
          </cell>
          <cell r="E315" t="str">
            <v>200ml Glass bottle</v>
          </cell>
          <cell r="F315" t="str">
            <v>Shillings</v>
          </cell>
          <cell r="G315"/>
        </row>
        <row r="316">
          <cell r="A316">
            <v>1101</v>
          </cell>
          <cell r="B316" t="str">
            <v>UGANDA BREWERIES LIMITED</v>
          </cell>
          <cell r="C316" t="str">
            <v>Spirits</v>
          </cell>
          <cell r="D316" t="str">
            <v>Johnnie Walker Red label</v>
          </cell>
          <cell r="E316" t="str">
            <v>200ml Glass bottle</v>
          </cell>
          <cell r="F316" t="str">
            <v>Shillings</v>
          </cell>
          <cell r="G316"/>
        </row>
        <row r="317">
          <cell r="A317">
            <v>1101</v>
          </cell>
          <cell r="B317" t="str">
            <v>BWENDERO FARM DIARY</v>
          </cell>
          <cell r="C317" t="str">
            <v>Spirits</v>
          </cell>
          <cell r="D317" t="str">
            <v>Extra Neutral Alcohol</v>
          </cell>
          <cell r="E317" t="str">
            <v>25000 litres</v>
          </cell>
          <cell r="F317" t="str">
            <v>Shillings</v>
          </cell>
          <cell r="G317"/>
        </row>
        <row r="318">
          <cell r="A318"/>
          <cell r="B318"/>
          <cell r="C318"/>
          <cell r="D318"/>
          <cell r="E318"/>
          <cell r="F318"/>
          <cell r="G318"/>
        </row>
        <row r="319">
          <cell r="A319" t="str">
            <v>1102</v>
          </cell>
          <cell r="B319" t="str">
            <v xml:space="preserve"> Manufacture of wines</v>
          </cell>
          <cell r="F319" t="str">
            <v>Index</v>
          </cell>
          <cell r="G319">
            <v>0.50833952855763298</v>
          </cell>
        </row>
        <row r="320">
          <cell r="B320" t="str">
            <v xml:space="preserve"> Manufacture of wines</v>
          </cell>
          <cell r="F320" t="str">
            <v>Geomean</v>
          </cell>
          <cell r="G320"/>
        </row>
        <row r="321">
          <cell r="A321">
            <v>1102</v>
          </cell>
          <cell r="B321" t="str">
            <v>LEDO U LIMITED</v>
          </cell>
          <cell r="C321" t="str">
            <v>Wine</v>
          </cell>
          <cell r="D321" t="str">
            <v>Sweet wine ( Rozelle wine)</v>
          </cell>
          <cell r="E321" t="str">
            <v>750ml bottle</v>
          </cell>
          <cell r="F321" t="str">
            <v>Shillings</v>
          </cell>
          <cell r="G321"/>
        </row>
        <row r="322">
          <cell r="A322">
            <v>1102</v>
          </cell>
          <cell r="B322" t="str">
            <v>LEDO U LIMITED</v>
          </cell>
          <cell r="C322" t="str">
            <v>Wine</v>
          </cell>
          <cell r="D322" t="str">
            <v>Medium wine (thereza wine)</v>
          </cell>
          <cell r="E322" t="str">
            <v>750ml bottle</v>
          </cell>
          <cell r="F322" t="str">
            <v>Shillings</v>
          </cell>
          <cell r="G322"/>
        </row>
        <row r="323">
          <cell r="A323">
            <v>1102</v>
          </cell>
          <cell r="B323" t="str">
            <v>LEDO U LIMITED</v>
          </cell>
          <cell r="C323" t="str">
            <v>Wine</v>
          </cell>
          <cell r="D323" t="str">
            <v>Dry wine( thereza wine)</v>
          </cell>
          <cell r="E323" t="str">
            <v>750ml bottle</v>
          </cell>
          <cell r="F323" t="str">
            <v>Shillings</v>
          </cell>
          <cell r="G323"/>
        </row>
        <row r="324">
          <cell r="A324">
            <v>1102</v>
          </cell>
          <cell r="B324" t="str">
            <v>K-ROMA LTD</v>
          </cell>
          <cell r="C324" t="str">
            <v>Wine</v>
          </cell>
          <cell r="D324" t="str">
            <v xml:space="preserve">Bella Golden wine </v>
          </cell>
          <cell r="E324" t="str">
            <v>A carton of 12 bottles</v>
          </cell>
          <cell r="F324" t="str">
            <v>Shillings</v>
          </cell>
          <cell r="G324"/>
        </row>
        <row r="325">
          <cell r="A325">
            <v>1102</v>
          </cell>
          <cell r="B325" t="str">
            <v>K-ROMA LTD</v>
          </cell>
          <cell r="C325" t="str">
            <v>Wine</v>
          </cell>
          <cell r="D325" t="str">
            <v>Bella Special wine</v>
          </cell>
          <cell r="E325" t="str">
            <v>A carton of 12 bottles</v>
          </cell>
          <cell r="F325" t="str">
            <v>Shillings</v>
          </cell>
          <cell r="G325"/>
        </row>
        <row r="326">
          <cell r="A326">
            <v>1102</v>
          </cell>
          <cell r="B326" t="str">
            <v>K-ROMA LTD</v>
          </cell>
          <cell r="C326" t="str">
            <v>Wine</v>
          </cell>
          <cell r="D326" t="str">
            <v>Bella Hibiscus</v>
          </cell>
          <cell r="E326" t="str">
            <v>A carton of 12 bottles</v>
          </cell>
          <cell r="F326" t="str">
            <v>Shillings</v>
          </cell>
          <cell r="G326"/>
        </row>
        <row r="327">
          <cell r="A327">
            <v>1102</v>
          </cell>
          <cell r="B327" t="str">
            <v>K-ROMA LTD</v>
          </cell>
          <cell r="C327" t="str">
            <v>Wine</v>
          </cell>
          <cell r="D327" t="str">
            <v>Bella Passion</v>
          </cell>
          <cell r="E327" t="str">
            <v>A carton of 12 bottles</v>
          </cell>
          <cell r="F327" t="str">
            <v>Shillings</v>
          </cell>
          <cell r="G327"/>
        </row>
        <row r="328">
          <cell r="A328"/>
          <cell r="G328"/>
        </row>
        <row r="329">
          <cell r="A329" t="str">
            <v>1103</v>
          </cell>
          <cell r="B329" t="str">
            <v xml:space="preserve"> Manufacture of malt liquors and malt</v>
          </cell>
          <cell r="F329" t="str">
            <v>Index</v>
          </cell>
          <cell r="G329">
            <v>41.148818960555197</v>
          </cell>
        </row>
        <row r="330">
          <cell r="B330"/>
          <cell r="F330" t="str">
            <v>Geomean</v>
          </cell>
          <cell r="G330"/>
        </row>
        <row r="331">
          <cell r="A331">
            <v>1103</v>
          </cell>
          <cell r="B331" t="str">
            <v>NILE BREWERIES LIMITED</v>
          </cell>
          <cell r="C331" t="str">
            <v>Eagle Lager</v>
          </cell>
          <cell r="D331" t="str">
            <v>500 ml bottles</v>
          </cell>
          <cell r="E331" t="str">
            <v>Crate of 25 bottles</v>
          </cell>
          <cell r="F331" t="str">
            <v>Shillings</v>
          </cell>
          <cell r="G331"/>
        </row>
        <row r="332">
          <cell r="A332">
            <v>1103</v>
          </cell>
          <cell r="B332" t="str">
            <v>NILE BREWERIES LIMITED</v>
          </cell>
          <cell r="C332" t="str">
            <v>Eagle Larger Extra</v>
          </cell>
          <cell r="D332" t="str">
            <v>500 ml bottles</v>
          </cell>
          <cell r="E332" t="str">
            <v>Crate of 25 bottles</v>
          </cell>
          <cell r="F332" t="str">
            <v>Shillings</v>
          </cell>
          <cell r="G332"/>
        </row>
        <row r="333">
          <cell r="A333">
            <v>1103</v>
          </cell>
          <cell r="B333" t="str">
            <v>NILE BREWERIES LIMITED</v>
          </cell>
          <cell r="C333" t="str">
            <v>Nile Special</v>
          </cell>
          <cell r="D333" t="str">
            <v>Nile Special (500ml bottle)</v>
          </cell>
          <cell r="E333" t="str">
            <v>20 bottles (crate)</v>
          </cell>
          <cell r="F333" t="str">
            <v>Shillings</v>
          </cell>
          <cell r="G333"/>
        </row>
        <row r="334">
          <cell r="A334">
            <v>1103</v>
          </cell>
          <cell r="B334" t="str">
            <v>NILE BREWERIES LIMITED</v>
          </cell>
          <cell r="C334" t="str">
            <v>Club Beer</v>
          </cell>
          <cell r="D334" t="str">
            <v>Club Beer(500ml bottle)</v>
          </cell>
          <cell r="E334" t="str">
            <v>20 bottles (crate)</v>
          </cell>
          <cell r="F334" t="str">
            <v>Shillings</v>
          </cell>
          <cell r="G334"/>
        </row>
        <row r="335">
          <cell r="A335">
            <v>1103</v>
          </cell>
          <cell r="B335" t="str">
            <v>NILE BREWERIES LIMITED</v>
          </cell>
          <cell r="C335" t="str">
            <v>Castle Lite</v>
          </cell>
          <cell r="D335" t="str">
            <v>375 mls bottles</v>
          </cell>
          <cell r="E335" t="str">
            <v>20 bottles (crate)</v>
          </cell>
          <cell r="F335" t="str">
            <v>Shillings</v>
          </cell>
          <cell r="G335"/>
        </row>
        <row r="336">
          <cell r="A336">
            <v>1103</v>
          </cell>
          <cell r="B336" t="str">
            <v>UGANDA BREWERIES LIMITED</v>
          </cell>
          <cell r="C336" t="str">
            <v>Beers</v>
          </cell>
          <cell r="D336" t="str">
            <v>Guiness</v>
          </cell>
          <cell r="E336" t="str">
            <v>300 ml bottle</v>
          </cell>
          <cell r="F336" t="str">
            <v>Shillings</v>
          </cell>
          <cell r="G336"/>
        </row>
        <row r="337">
          <cell r="A337">
            <v>1103</v>
          </cell>
          <cell r="B337" t="str">
            <v>UGANDA BREWERIES LIMITED</v>
          </cell>
          <cell r="C337" t="str">
            <v>Beers</v>
          </cell>
          <cell r="D337" t="str">
            <v>Tusker lite</v>
          </cell>
          <cell r="E337" t="str">
            <v>330 ml bottle</v>
          </cell>
          <cell r="F337" t="str">
            <v>Shillings</v>
          </cell>
          <cell r="G337"/>
        </row>
        <row r="338">
          <cell r="A338">
            <v>1103</v>
          </cell>
          <cell r="B338" t="str">
            <v>UGANDA BREWERIES LIMITED</v>
          </cell>
          <cell r="C338" t="str">
            <v>Beers</v>
          </cell>
          <cell r="D338" t="str">
            <v>Bell Lager</v>
          </cell>
          <cell r="E338" t="str">
            <v>500ml bottle</v>
          </cell>
          <cell r="F338" t="str">
            <v>Shillings</v>
          </cell>
          <cell r="G338"/>
        </row>
        <row r="339">
          <cell r="A339">
            <v>1103</v>
          </cell>
          <cell r="B339" t="str">
            <v>UGANDA BREWERIES LIMITED</v>
          </cell>
          <cell r="C339" t="str">
            <v>Beers</v>
          </cell>
          <cell r="D339" t="str">
            <v>Pilsner</v>
          </cell>
          <cell r="E339" t="str">
            <v>500ml bottle</v>
          </cell>
          <cell r="F339" t="str">
            <v>Shillings</v>
          </cell>
          <cell r="G339"/>
        </row>
        <row r="340">
          <cell r="A340"/>
          <cell r="B340"/>
          <cell r="C340"/>
          <cell r="D340"/>
          <cell r="E340"/>
          <cell r="F340"/>
          <cell r="G340"/>
        </row>
        <row r="341">
          <cell r="A341" t="str">
            <v>1104</v>
          </cell>
          <cell r="B341" t="str">
            <v xml:space="preserve"> Manufacture of soft drinks; production of mineral waters and other bottled waters</v>
          </cell>
          <cell r="F341" t="str">
            <v>Index</v>
          </cell>
          <cell r="G341">
            <v>12.7922359592896</v>
          </cell>
        </row>
        <row r="342">
          <cell r="B342"/>
          <cell r="F342" t="str">
            <v>Geomean</v>
          </cell>
          <cell r="G342"/>
        </row>
        <row r="343">
          <cell r="A343">
            <v>1104</v>
          </cell>
          <cell r="B343" t="str">
            <v>CROWN BEVERAGES CO LTD</v>
          </cell>
          <cell r="C343" t="str">
            <v>Pepsi Cola (300ml)</v>
          </cell>
          <cell r="D343" t="str">
            <v>Pepsi Cola (300ml)</v>
          </cell>
          <cell r="E343" t="str">
            <v>24 bottles (crate)</v>
          </cell>
          <cell r="F343" t="str">
            <v>Shillings</v>
          </cell>
          <cell r="G343"/>
        </row>
        <row r="344">
          <cell r="A344">
            <v>1104</v>
          </cell>
          <cell r="B344" t="str">
            <v>CROWN BEVERAGES CO LTD</v>
          </cell>
          <cell r="C344" t="str">
            <v>Mirinda Fruity (300ml)</v>
          </cell>
          <cell r="D344" t="str">
            <v>Mirinda Fruity (300ml)</v>
          </cell>
          <cell r="E344" t="str">
            <v>12 bottles (crate)</v>
          </cell>
          <cell r="F344" t="str">
            <v>Shillings</v>
          </cell>
          <cell r="G344"/>
        </row>
        <row r="345">
          <cell r="A345">
            <v>1104</v>
          </cell>
          <cell r="B345" t="str">
            <v>CROWN BEVERAGES CO LTD</v>
          </cell>
          <cell r="C345" t="str">
            <v>Mirinda Orange (300ml)</v>
          </cell>
          <cell r="D345" t="str">
            <v>Mirinda Orange (300ml)</v>
          </cell>
          <cell r="E345" t="str">
            <v>24 bottles (crate)</v>
          </cell>
          <cell r="F345" t="str">
            <v>Shillings</v>
          </cell>
          <cell r="G345"/>
        </row>
        <row r="346">
          <cell r="A346">
            <v>1104</v>
          </cell>
          <cell r="B346" t="str">
            <v>CROWN BEVERAGES CO LTD</v>
          </cell>
          <cell r="C346" t="str">
            <v>Mirinda Lemon (300ml)</v>
          </cell>
          <cell r="D346" t="str">
            <v>Mirinda Lemon (300ml)</v>
          </cell>
          <cell r="E346" t="str">
            <v>24 bottles (crate)</v>
          </cell>
          <cell r="F346" t="str">
            <v>Shillings</v>
          </cell>
          <cell r="G346"/>
        </row>
        <row r="347">
          <cell r="A347">
            <v>1104</v>
          </cell>
          <cell r="B347" t="str">
            <v>CROWN BEVERAGES CO LTD</v>
          </cell>
          <cell r="C347" t="str">
            <v>Mirinda Pineapple (300ml)</v>
          </cell>
          <cell r="D347" t="str">
            <v>Mirinda Pineapple (300ml)</v>
          </cell>
          <cell r="E347" t="str">
            <v>24 bottles (crate)</v>
          </cell>
          <cell r="F347" t="str">
            <v>Shillings</v>
          </cell>
          <cell r="G347"/>
        </row>
        <row r="348">
          <cell r="A348">
            <v>1104</v>
          </cell>
          <cell r="B348" t="str">
            <v>CROWN BEVERAGES CO LTD</v>
          </cell>
          <cell r="C348" t="str">
            <v>Tonic Evervess (300ml)</v>
          </cell>
          <cell r="D348" t="str">
            <v>Tonic Evervess (300ml)</v>
          </cell>
          <cell r="E348" t="str">
            <v>24 bottles (crate)</v>
          </cell>
          <cell r="F348" t="str">
            <v>Shillings</v>
          </cell>
          <cell r="G348"/>
        </row>
        <row r="349">
          <cell r="A349">
            <v>1104</v>
          </cell>
          <cell r="B349" t="str">
            <v>CROWN BEVERAGES CO LTD</v>
          </cell>
          <cell r="C349" t="str">
            <v>Mirinda Green Apple (300ml)</v>
          </cell>
          <cell r="D349" t="str">
            <v>Mirinda Green Apple (300ml)</v>
          </cell>
          <cell r="E349" t="str">
            <v>A crate of 24 bottles</v>
          </cell>
          <cell r="F349" t="str">
            <v>Shillings</v>
          </cell>
          <cell r="G349"/>
        </row>
        <row r="350">
          <cell r="A350">
            <v>1104</v>
          </cell>
          <cell r="B350" t="str">
            <v>CROWN BEVERAGES CO LTD</v>
          </cell>
          <cell r="C350" t="str">
            <v>Mountain Dew (300ml)</v>
          </cell>
          <cell r="D350" t="str">
            <v>Mirinda Green Apple (300ml)</v>
          </cell>
          <cell r="E350" t="str">
            <v>A crate of 24 bottles</v>
          </cell>
          <cell r="F350" t="str">
            <v>Shillings</v>
          </cell>
          <cell r="G350"/>
        </row>
        <row r="351">
          <cell r="A351">
            <v>1104</v>
          </cell>
          <cell r="B351" t="str">
            <v>CROWN BEVERAGES CO LTD</v>
          </cell>
          <cell r="C351" t="str">
            <v>Nivana Water</v>
          </cell>
          <cell r="D351" t="str">
            <v xml:space="preserve">Carton of 12 Plastic water bottles </v>
          </cell>
          <cell r="E351" t="str">
            <v xml:space="preserve">Carton of 12 Plastic water bottles </v>
          </cell>
          <cell r="F351" t="str">
            <v>Shillings</v>
          </cell>
          <cell r="G351"/>
        </row>
        <row r="352">
          <cell r="A352">
            <v>1104</v>
          </cell>
          <cell r="B352" t="str">
            <v>HARISS INTERNATIONAL LIMITED</v>
          </cell>
          <cell r="C352" t="str">
            <v>Rock Boom Energy Drink 320X12 millilitres</v>
          </cell>
          <cell r="D352" t="str">
            <v>artificial juice (Rock Boom)</v>
          </cell>
          <cell r="E352" t="str">
            <v>boxes/cartons</v>
          </cell>
          <cell r="F352" t="str">
            <v>Shillings</v>
          </cell>
          <cell r="G352"/>
        </row>
        <row r="353">
          <cell r="A353">
            <v>1104</v>
          </cell>
          <cell r="B353" t="str">
            <v>HARISS INTERNATIONAL LIMITED</v>
          </cell>
          <cell r="C353" t="str">
            <v>Water</v>
          </cell>
          <cell r="D353" t="str">
            <v>Water of 320mls*12 bottles</v>
          </cell>
          <cell r="E353" t="str">
            <v>Box of 12 *320mls</v>
          </cell>
          <cell r="F353" t="str">
            <v>Shillings</v>
          </cell>
          <cell r="G353"/>
        </row>
        <row r="354">
          <cell r="A354">
            <v>1104</v>
          </cell>
          <cell r="B354" t="str">
            <v>HARISS INTERNATIONAL LIMITED</v>
          </cell>
          <cell r="C354" t="str">
            <v>Mineral Water 1.5 ltrsX12 bottles</v>
          </cell>
          <cell r="D354" t="str">
            <v>water of 1.5 ltrsX12 bottles</v>
          </cell>
          <cell r="E354" t="str">
            <v>Box of 12 bottles</v>
          </cell>
          <cell r="F354" t="str">
            <v>Shillings</v>
          </cell>
          <cell r="G354"/>
        </row>
        <row r="355">
          <cell r="A355">
            <v>1104</v>
          </cell>
          <cell r="B355" t="str">
            <v>HARISS INTERNATIONAL LIMITED</v>
          </cell>
          <cell r="C355" t="str">
            <v xml:space="preserve">Soda Water </v>
          </cell>
          <cell r="D355" t="str">
            <v>water of 320 mls*12 bottles</v>
          </cell>
          <cell r="E355" t="str">
            <v>Box of 12 bottles</v>
          </cell>
          <cell r="F355" t="str">
            <v>Shillings</v>
          </cell>
          <cell r="G355"/>
        </row>
        <row r="356">
          <cell r="A356">
            <v>1104</v>
          </cell>
          <cell r="B356" t="str">
            <v>HARISS INTERNATIONAL LIMITED</v>
          </cell>
          <cell r="C356" t="str">
            <v>Water 600X12 millilitres</v>
          </cell>
          <cell r="D356" t="str">
            <v>water</v>
          </cell>
          <cell r="E356" t="str">
            <v>boxes/cartons</v>
          </cell>
          <cell r="F356" t="str">
            <v>Shillings</v>
          </cell>
          <cell r="G356"/>
        </row>
        <row r="357">
          <cell r="A357">
            <v>1104</v>
          </cell>
          <cell r="B357" t="str">
            <v>HARISS INTERNATIONAL LIMITED</v>
          </cell>
          <cell r="C357" t="str">
            <v>riham cola 320ml</v>
          </cell>
          <cell r="D357" t="str">
            <v>riham cola 320ml</v>
          </cell>
          <cell r="E357" t="str">
            <v>boxes/cartons</v>
          </cell>
          <cell r="F357" t="str">
            <v>Shillings</v>
          </cell>
          <cell r="G357"/>
        </row>
        <row r="358">
          <cell r="A358">
            <v>1104</v>
          </cell>
          <cell r="B358" t="str">
            <v>HEMA BEVERAGES LIMITED</v>
          </cell>
          <cell r="C358" t="str">
            <v>Hema water</v>
          </cell>
          <cell r="D358" t="str">
            <v>500 ml</v>
          </cell>
          <cell r="E358" t="str">
            <v>Piece</v>
          </cell>
          <cell r="F358" t="str">
            <v>Shillings</v>
          </cell>
          <cell r="G358"/>
        </row>
        <row r="359">
          <cell r="A359">
            <v>1104</v>
          </cell>
          <cell r="B359" t="str">
            <v>HEMA BEVERAGES LIMITED</v>
          </cell>
          <cell r="C359" t="str">
            <v>Hema water</v>
          </cell>
          <cell r="D359" t="str">
            <v>1.5 litres</v>
          </cell>
          <cell r="E359" t="str">
            <v>Piece</v>
          </cell>
          <cell r="F359" t="str">
            <v>Shillings</v>
          </cell>
          <cell r="G359"/>
        </row>
        <row r="360">
          <cell r="A360">
            <v>1104</v>
          </cell>
          <cell r="B360" t="str">
            <v>K-ROMA LTD (Bella Wines)</v>
          </cell>
          <cell r="C360" t="str">
            <v xml:space="preserve">Hibiscus Juice RTD (Ready to Drink) </v>
          </cell>
          <cell r="D360" t="str">
            <v>Carton (300 mls bottle)</v>
          </cell>
          <cell r="E360" t="str">
            <v>cartn of 12 Bottles</v>
          </cell>
          <cell r="F360" t="str">
            <v>Shillings</v>
          </cell>
          <cell r="G360"/>
        </row>
        <row r="361">
          <cell r="A361">
            <v>1104</v>
          </cell>
          <cell r="B361" t="str">
            <v>K-ROMA LTD (Bella Wines)</v>
          </cell>
          <cell r="C361" t="str">
            <v xml:space="preserve">Hibiscus Juice RTD (Ready to Drink) </v>
          </cell>
          <cell r="D361" t="str">
            <v>Carton (500 mls bottle)</v>
          </cell>
          <cell r="E361" t="str">
            <v>cartn of 12 bottles</v>
          </cell>
          <cell r="F361" t="str">
            <v>Shillings</v>
          </cell>
          <cell r="G361"/>
        </row>
        <row r="362">
          <cell r="A362"/>
          <cell r="B362"/>
          <cell r="C362"/>
          <cell r="D362"/>
          <cell r="E362"/>
          <cell r="F362"/>
          <cell r="G362"/>
        </row>
        <row r="363">
          <cell r="B363" t="str">
            <v>Manufacture of tobacco products</v>
          </cell>
        </row>
        <row r="364">
          <cell r="A364" t="str">
            <v>1200</v>
          </cell>
          <cell r="B364" t="str">
            <v xml:space="preserve"> Manufacture of tobacco products</v>
          </cell>
          <cell r="F364" t="str">
            <v>Index</v>
          </cell>
          <cell r="G364">
            <v>9.4042110357968607</v>
          </cell>
        </row>
        <row r="365">
          <cell r="B365" t="str">
            <v xml:space="preserve"> Manufacture of tobacco products</v>
          </cell>
          <cell r="F365" t="str">
            <v>Geomean</v>
          </cell>
          <cell r="G365"/>
        </row>
        <row r="366">
          <cell r="A366">
            <v>1200</v>
          </cell>
          <cell r="B366" t="str">
            <v>LEAF TOBACCO &amp; COMMODITIES (U) LIMITED</v>
          </cell>
          <cell r="C366" t="str">
            <v>Master Local Soft</v>
          </cell>
          <cell r="D366" t="str">
            <v>Master Local Soft</v>
          </cell>
          <cell r="E366" t="str">
            <v>Carton of 5000 sticks</v>
          </cell>
          <cell r="F366" t="str">
            <v>Shillings</v>
          </cell>
          <cell r="G366"/>
        </row>
        <row r="367">
          <cell r="A367">
            <v>1200</v>
          </cell>
          <cell r="B367" t="str">
            <v>LEAF TOBACCO &amp; COMMODITIES (U) LIMITED</v>
          </cell>
          <cell r="C367" t="str">
            <v>Petersfield Soft Pack</v>
          </cell>
          <cell r="D367" t="str">
            <v>Petersfield Soft Pack</v>
          </cell>
          <cell r="E367" t="str">
            <v>Carton of 5000 sticks</v>
          </cell>
          <cell r="F367" t="str">
            <v>Shillings</v>
          </cell>
          <cell r="G367"/>
        </row>
        <row r="368">
          <cell r="A368">
            <v>1200</v>
          </cell>
          <cell r="B368" t="str">
            <v>LEAF TOBACCO &amp; COMMODITIES (U) LIMITED</v>
          </cell>
          <cell r="C368" t="str">
            <v>Peter Field Hard Pack</v>
          </cell>
          <cell r="D368" t="str">
            <v>Peter Field Hard Pack</v>
          </cell>
          <cell r="E368" t="str">
            <v>Carton of 1000 sticks</v>
          </cell>
          <cell r="F368" t="str">
            <v>Shillings</v>
          </cell>
          <cell r="G368"/>
        </row>
        <row r="369">
          <cell r="A369">
            <v>1200</v>
          </cell>
          <cell r="B369" t="str">
            <v>LEAF TOBACCO &amp; COMMODITIES (U) LIMITED</v>
          </cell>
          <cell r="C369" t="str">
            <v>Supermatch Cigaretes</v>
          </cell>
          <cell r="D369" t="str">
            <v>Supermatch Cigaretes</v>
          </cell>
          <cell r="E369" t="str">
            <v>Carton of 5000 sticks</v>
          </cell>
          <cell r="F369" t="str">
            <v>Shillings</v>
          </cell>
          <cell r="G369"/>
        </row>
        <row r="370">
          <cell r="A370">
            <v>1200</v>
          </cell>
          <cell r="B370" t="str">
            <v>MERIDIAN TOBACCO COMPANY</v>
          </cell>
          <cell r="C370" t="str">
            <v>Green Leaf Tobacco [GLT]</v>
          </cell>
          <cell r="D370" t="str">
            <v>Semi processsed tobacco</v>
          </cell>
          <cell r="E370" t="str">
            <v>Kilogram</v>
          </cell>
          <cell r="F370" t="str">
            <v>Shillings</v>
          </cell>
          <cell r="G370"/>
        </row>
        <row r="371">
          <cell r="A371">
            <v>1200</v>
          </cell>
          <cell r="B371" t="str">
            <v>MERIDIAN TOBACCO COMPANY</v>
          </cell>
          <cell r="C371" t="str">
            <v>PMD</v>
          </cell>
          <cell r="D371" t="str">
            <v>Semi processsed tobacco</v>
          </cell>
          <cell r="E371" t="str">
            <v>Kilogram</v>
          </cell>
          <cell r="F371" t="str">
            <v>Shillings</v>
          </cell>
          <cell r="G371"/>
        </row>
        <row r="372">
          <cell r="G372"/>
        </row>
        <row r="373">
          <cell r="A373">
            <v>1311</v>
          </cell>
          <cell r="B373" t="str">
            <v>MANUFACTURE OF TEXTILES</v>
          </cell>
        </row>
        <row r="374">
          <cell r="B374" t="str">
            <v xml:space="preserve"> Preparation and spinning of textile fibres</v>
          </cell>
          <cell r="F374" t="str">
            <v>Index</v>
          </cell>
          <cell r="G374">
            <v>11.5188009235262</v>
          </cell>
        </row>
        <row r="375">
          <cell r="A375" t="str">
            <v>1311</v>
          </cell>
          <cell r="B375" t="str">
            <v xml:space="preserve"> Preparation and spinning of textile fibres</v>
          </cell>
          <cell r="F375" t="str">
            <v>Geomean</v>
          </cell>
        </row>
        <row r="376">
          <cell r="A376">
            <v>1311</v>
          </cell>
          <cell r="B376" t="str">
            <v>FINE SPINNERS UGANDA LTD</v>
          </cell>
          <cell r="C376" t="str">
            <v>Textiles</v>
          </cell>
          <cell r="D376" t="str">
            <v>Cotton Yarn</v>
          </cell>
          <cell r="E376" t="str">
            <v>Kilogram</v>
          </cell>
          <cell r="F376" t="str">
            <v>Shillings</v>
          </cell>
          <cell r="G376"/>
        </row>
        <row r="377">
          <cell r="A377">
            <v>1311</v>
          </cell>
          <cell r="B377" t="str">
            <v>FINE SPINNERS UGANDA LTD</v>
          </cell>
          <cell r="C377" t="str">
            <v>Textiles</v>
          </cell>
          <cell r="D377" t="str">
            <v>Swing threads Yarn</v>
          </cell>
          <cell r="E377" t="str">
            <v>metres</v>
          </cell>
          <cell r="F377" t="str">
            <v>Shillings</v>
          </cell>
          <cell r="G377"/>
        </row>
        <row r="378">
          <cell r="A378"/>
          <cell r="B378"/>
          <cell r="C378"/>
          <cell r="D378"/>
          <cell r="E378"/>
          <cell r="F378"/>
          <cell r="G378"/>
        </row>
        <row r="379">
          <cell r="A379" t="str">
            <v>1392</v>
          </cell>
          <cell r="B379" t="str">
            <v xml:space="preserve"> Manufacture of made-up textile articles, except apparel</v>
          </cell>
          <cell r="F379" t="str">
            <v>Index</v>
          </cell>
          <cell r="G379">
            <v>10.480640560764799</v>
          </cell>
        </row>
        <row r="380">
          <cell r="A380" t="str">
            <v>1392</v>
          </cell>
          <cell r="B380" t="str">
            <v xml:space="preserve"> Manufacture of made-up textile articles, except apparel</v>
          </cell>
          <cell r="F380" t="str">
            <v>Geomean</v>
          </cell>
          <cell r="G380"/>
        </row>
        <row r="381">
          <cell r="A381">
            <v>1392</v>
          </cell>
          <cell r="B381" t="str">
            <v>UGANDA FISHNET MANUFACTURERS LTD.</v>
          </cell>
          <cell r="C381" t="str">
            <v>Fishing Nets</v>
          </cell>
          <cell r="D381" t="str">
            <v>9 Ply</v>
          </cell>
          <cell r="E381" t="str">
            <v>per piece</v>
          </cell>
          <cell r="F381" t="str">
            <v>Shillings</v>
          </cell>
          <cell r="G381"/>
        </row>
        <row r="382">
          <cell r="A382">
            <v>1392</v>
          </cell>
          <cell r="B382" t="str">
            <v>UGANDA FISHNET MANUFACTURERS LTD.</v>
          </cell>
          <cell r="C382" t="str">
            <v>Fishing Nets</v>
          </cell>
          <cell r="D382" t="str">
            <v>8 Ply</v>
          </cell>
          <cell r="E382" t="str">
            <v>per piece</v>
          </cell>
          <cell r="F382" t="str">
            <v>Shillings</v>
          </cell>
          <cell r="G382"/>
        </row>
        <row r="383">
          <cell r="A383">
            <v>1392</v>
          </cell>
          <cell r="B383" t="str">
            <v>UGANDA FISHNET MANUFACTURERS LTD.</v>
          </cell>
          <cell r="C383" t="str">
            <v>Fishing Nets</v>
          </cell>
          <cell r="D383" t="str">
            <v>12 Ply</v>
          </cell>
          <cell r="E383" t="str">
            <v>per piece</v>
          </cell>
          <cell r="F383" t="str">
            <v>Shillings</v>
          </cell>
          <cell r="G383"/>
        </row>
        <row r="384">
          <cell r="A384">
            <v>1392</v>
          </cell>
          <cell r="B384" t="str">
            <v>UGANDA FISHNET MANUFACTURERS LTD.</v>
          </cell>
          <cell r="C384" t="str">
            <v>Fishing Nets</v>
          </cell>
          <cell r="D384" t="str">
            <v>6 Ply</v>
          </cell>
          <cell r="E384" t="str">
            <v>per piece</v>
          </cell>
          <cell r="F384" t="str">
            <v>Shillings</v>
          </cell>
          <cell r="G384"/>
        </row>
        <row r="385">
          <cell r="A385">
            <v>1392</v>
          </cell>
          <cell r="B385" t="str">
            <v>NAJERU PACKAGING INDUSTRIES LIMITED</v>
          </cell>
          <cell r="C385" t="str">
            <v xml:space="preserve">Non-woven carry bags </v>
          </cell>
          <cell r="D385" t="str">
            <v>Non-woven carry bags 15</v>
          </cell>
          <cell r="E385" t="str">
            <v>cartons</v>
          </cell>
          <cell r="F385" t="str">
            <v>Shillings</v>
          </cell>
          <cell r="G385"/>
        </row>
        <row r="386">
          <cell r="A386">
            <v>1392</v>
          </cell>
          <cell r="B386" t="str">
            <v>NAJERU PACKAGING INDUSTRIES LIMITED</v>
          </cell>
          <cell r="C386" t="str">
            <v xml:space="preserve">Non-woven carry bags </v>
          </cell>
          <cell r="D386" t="str">
            <v>Non-woven carry bags 18</v>
          </cell>
          <cell r="E386" t="str">
            <v>cartons</v>
          </cell>
          <cell r="F386" t="str">
            <v>Shillings</v>
          </cell>
          <cell r="G386"/>
        </row>
        <row r="387">
          <cell r="A387">
            <v>1392</v>
          </cell>
          <cell r="B387" t="str">
            <v>NAJERU PACKAGING INDUSTRIES LIMITED</v>
          </cell>
          <cell r="C387" t="str">
            <v xml:space="preserve">Non-woven carry bags </v>
          </cell>
          <cell r="D387" t="str">
            <v>Non-woven carry bags 22</v>
          </cell>
          <cell r="E387" t="str">
            <v>cartons</v>
          </cell>
          <cell r="F387" t="str">
            <v>Shillings</v>
          </cell>
          <cell r="G387"/>
        </row>
        <row r="388">
          <cell r="A388">
            <v>1392</v>
          </cell>
          <cell r="B388" t="str">
            <v>CORE TRENDY TENTS</v>
          </cell>
          <cell r="C388" t="str">
            <v>Tents</v>
          </cell>
          <cell r="D388" t="str">
            <v>camping tents (small)</v>
          </cell>
          <cell r="E388" t="str">
            <v>piece</v>
          </cell>
          <cell r="F388" t="str">
            <v>Shillings</v>
          </cell>
          <cell r="G388"/>
        </row>
        <row r="389">
          <cell r="A389">
            <v>1392</v>
          </cell>
          <cell r="B389" t="str">
            <v>CORE TRENDY TENTS</v>
          </cell>
          <cell r="C389" t="str">
            <v>Tents</v>
          </cell>
          <cell r="D389" t="str">
            <v>function tents (100 seater)</v>
          </cell>
          <cell r="E389" t="str">
            <v>piece</v>
          </cell>
          <cell r="F389" t="str">
            <v>Shillings</v>
          </cell>
          <cell r="G389"/>
        </row>
        <row r="390">
          <cell r="A390">
            <v>1392</v>
          </cell>
          <cell r="B390" t="str">
            <v>CORE TRENDY TENTS</v>
          </cell>
          <cell r="C390" t="str">
            <v>Tents</v>
          </cell>
          <cell r="D390" t="str">
            <v>function tents (50 seater)</v>
          </cell>
          <cell r="E390" t="str">
            <v>piece</v>
          </cell>
          <cell r="F390" t="str">
            <v>Shillings</v>
          </cell>
          <cell r="G390"/>
        </row>
        <row r="391">
          <cell r="A391">
            <v>1392</v>
          </cell>
          <cell r="B391" t="str">
            <v>CORE TRENDY TENTS</v>
          </cell>
          <cell r="C391" t="str">
            <v>Tents</v>
          </cell>
          <cell r="D391" t="str">
            <v>exhibition tents (small tent)</v>
          </cell>
          <cell r="E391" t="str">
            <v>piece</v>
          </cell>
          <cell r="F391" t="str">
            <v>Shillings</v>
          </cell>
          <cell r="G391"/>
        </row>
        <row r="392">
          <cell r="A392">
            <v>1392</v>
          </cell>
          <cell r="B392" t="str">
            <v>CORE TRENDY TENTS</v>
          </cell>
          <cell r="C392" t="str">
            <v>Tarpaulins</v>
          </cell>
          <cell r="D392" t="str">
            <v>customized 52*20</v>
          </cell>
          <cell r="E392" t="str">
            <v>piece</v>
          </cell>
          <cell r="F392" t="str">
            <v>Shillings</v>
          </cell>
          <cell r="G392"/>
        </row>
        <row r="393">
          <cell r="A393">
            <v>1392</v>
          </cell>
          <cell r="B393" t="str">
            <v>CORE TRENDY TENTS</v>
          </cell>
          <cell r="C393" t="str">
            <v>Tarpaulins</v>
          </cell>
          <cell r="D393" t="str">
            <v>drying things</v>
          </cell>
          <cell r="F393" t="str">
            <v>Shillings</v>
          </cell>
          <cell r="G393"/>
        </row>
        <row r="394">
          <cell r="A394">
            <v>1392</v>
          </cell>
          <cell r="B394" t="str">
            <v>IDEAL TENTS (U) LIMITED</v>
          </cell>
          <cell r="C394" t="str">
            <v>Tent</v>
          </cell>
          <cell r="D394" t="str">
            <v>50 seater</v>
          </cell>
          <cell r="E394" t="str">
            <v>1 tent</v>
          </cell>
          <cell r="F394" t="str">
            <v>Shillings</v>
          </cell>
          <cell r="G394"/>
        </row>
        <row r="395">
          <cell r="A395">
            <v>1392</v>
          </cell>
          <cell r="B395" t="str">
            <v>IDEAL TENTS (U) LIMITED</v>
          </cell>
          <cell r="C395" t="str">
            <v>Tent</v>
          </cell>
          <cell r="D395" t="str">
            <v>100 seater</v>
          </cell>
          <cell r="E395" t="str">
            <v>1 tent</v>
          </cell>
          <cell r="F395" t="str">
            <v>Shillings</v>
          </cell>
          <cell r="G395"/>
        </row>
        <row r="396">
          <cell r="A396">
            <v>1392</v>
          </cell>
          <cell r="B396" t="str">
            <v>IDEAL TENTS (U) LIMITED</v>
          </cell>
          <cell r="C396" t="str">
            <v>Tent</v>
          </cell>
          <cell r="D396" t="str">
            <v>30 seater</v>
          </cell>
          <cell r="E396" t="str">
            <v>1 tent</v>
          </cell>
          <cell r="F396" t="str">
            <v>Shillings</v>
          </cell>
          <cell r="G396"/>
        </row>
        <row r="397">
          <cell r="A397">
            <v>1392</v>
          </cell>
          <cell r="B397" t="str">
            <v>IDEAL TENTS (U) LIMITED</v>
          </cell>
          <cell r="C397" t="str">
            <v>Tent</v>
          </cell>
          <cell r="D397" t="str">
            <v>150 seater</v>
          </cell>
          <cell r="E397" t="str">
            <v>1 tent</v>
          </cell>
          <cell r="F397" t="str">
            <v>Shillings</v>
          </cell>
          <cell r="G397"/>
        </row>
        <row r="398">
          <cell r="A398">
            <v>1392</v>
          </cell>
          <cell r="B398" t="str">
            <v>IDEAL TENTS (U) LIMITED</v>
          </cell>
          <cell r="C398" t="str">
            <v>Tarpaulins</v>
          </cell>
          <cell r="D398" t="str">
            <v>(6*4) meters</v>
          </cell>
          <cell r="E398" t="str">
            <v>piece</v>
          </cell>
          <cell r="F398" t="str">
            <v>Shillings</v>
          </cell>
          <cell r="G398"/>
        </row>
        <row r="399">
          <cell r="A399">
            <v>1392</v>
          </cell>
          <cell r="B399" t="str">
            <v>SILLAH LIMITED</v>
          </cell>
          <cell r="C399" t="str">
            <v>Tents</v>
          </cell>
          <cell r="D399" t="str">
            <v>50 seaters</v>
          </cell>
          <cell r="E399" t="str">
            <v>per piece</v>
          </cell>
          <cell r="F399" t="str">
            <v>Shillings</v>
          </cell>
          <cell r="G399"/>
        </row>
        <row r="400">
          <cell r="A400">
            <v>1392</v>
          </cell>
          <cell r="B400" t="str">
            <v>SILLAH LIMITED</v>
          </cell>
          <cell r="C400" t="str">
            <v>Tents</v>
          </cell>
          <cell r="D400" t="str">
            <v>100 seater</v>
          </cell>
          <cell r="E400" t="str">
            <v>per piece</v>
          </cell>
          <cell r="F400" t="str">
            <v>Shillings</v>
          </cell>
          <cell r="G400"/>
        </row>
        <row r="401">
          <cell r="A401">
            <v>1392</v>
          </cell>
          <cell r="B401" t="str">
            <v>SILLAH LIMITED</v>
          </cell>
          <cell r="C401" t="str">
            <v>Tents</v>
          </cell>
          <cell r="D401" t="str">
            <v>camping tents</v>
          </cell>
          <cell r="E401" t="str">
            <v>per piece</v>
          </cell>
          <cell r="F401" t="str">
            <v>Shillings</v>
          </cell>
          <cell r="G401"/>
        </row>
        <row r="402">
          <cell r="A402">
            <v>1392</v>
          </cell>
          <cell r="B402" t="str">
            <v>TARPO INDUSTRIES (U) LTD</v>
          </cell>
          <cell r="C402" t="str">
            <v>Tents</v>
          </cell>
          <cell r="D402" t="str">
            <v>50 seaters</v>
          </cell>
          <cell r="E402" t="str">
            <v>per piece</v>
          </cell>
          <cell r="F402" t="str">
            <v>Shillings</v>
          </cell>
          <cell r="G402"/>
        </row>
        <row r="403">
          <cell r="A403">
            <v>1392</v>
          </cell>
          <cell r="B403" t="str">
            <v>TARPO INDUSTRIES (U) LTD</v>
          </cell>
          <cell r="C403" t="str">
            <v>Tents</v>
          </cell>
          <cell r="D403" t="str">
            <v>100 seater</v>
          </cell>
          <cell r="E403" t="str">
            <v>per piece</v>
          </cell>
          <cell r="F403" t="str">
            <v>Shillings</v>
          </cell>
          <cell r="G403"/>
        </row>
        <row r="404">
          <cell r="A404">
            <v>1392</v>
          </cell>
          <cell r="B404" t="str">
            <v>MEGHA INDUSTRIES</v>
          </cell>
          <cell r="C404" t="str">
            <v>Pillows</v>
          </cell>
          <cell r="D404" t="str">
            <v>Pillow Cheaps</v>
          </cell>
          <cell r="E404" t="str">
            <v>piece</v>
          </cell>
          <cell r="F404" t="str">
            <v>Shillings</v>
          </cell>
          <cell r="G404"/>
        </row>
        <row r="405">
          <cell r="A405">
            <v>1392</v>
          </cell>
          <cell r="B405" t="str">
            <v>EUROFLEX LIMITED</v>
          </cell>
          <cell r="C405" t="str">
            <v>Pillows</v>
          </cell>
          <cell r="D405" t="str">
            <v>ordinary</v>
          </cell>
          <cell r="E405" t="str">
            <v>piece</v>
          </cell>
          <cell r="F405" t="str">
            <v>Shillings</v>
          </cell>
          <cell r="G405"/>
        </row>
        <row r="406">
          <cell r="A406">
            <v>1392</v>
          </cell>
          <cell r="B406" t="str">
            <v>VITA FOAM</v>
          </cell>
          <cell r="C406" t="str">
            <v xml:space="preserve">Foam Cushion </v>
          </cell>
          <cell r="D406" t="str">
            <v>Foam Cushion 22x22x4</v>
          </cell>
          <cell r="E406" t="str">
            <v>piece</v>
          </cell>
          <cell r="F406" t="str">
            <v>Shillings</v>
          </cell>
          <cell r="G406"/>
        </row>
        <row r="407">
          <cell r="A407">
            <v>1392</v>
          </cell>
          <cell r="B407" t="str">
            <v>VITA FOAM</v>
          </cell>
          <cell r="C407" t="str">
            <v>Foam Mattress</v>
          </cell>
          <cell r="D407" t="str">
            <v>(74*36*4) silver</v>
          </cell>
          <cell r="E407" t="str">
            <v>piece</v>
          </cell>
          <cell r="F407" t="str">
            <v>Shillings</v>
          </cell>
          <cell r="G407"/>
        </row>
        <row r="408">
          <cell r="A408">
            <v>1392</v>
          </cell>
          <cell r="B408" t="str">
            <v>VITA FOAM</v>
          </cell>
          <cell r="C408" t="str">
            <v>Foam Mattress</v>
          </cell>
          <cell r="D408" t="str">
            <v>(74*48*6) gold</v>
          </cell>
          <cell r="E408" t="str">
            <v>piece</v>
          </cell>
          <cell r="F408" t="str">
            <v>Shillings</v>
          </cell>
          <cell r="G408"/>
        </row>
        <row r="409">
          <cell r="A409">
            <v>1392</v>
          </cell>
          <cell r="B409" t="str">
            <v>VITA FOAM</v>
          </cell>
          <cell r="C409" t="str">
            <v>Foam Mattress</v>
          </cell>
          <cell r="D409" t="str">
            <v>(74*60*6) gold</v>
          </cell>
          <cell r="E409" t="str">
            <v>piece</v>
          </cell>
          <cell r="F409" t="str">
            <v>Shillings</v>
          </cell>
          <cell r="G409"/>
        </row>
        <row r="410">
          <cell r="A410">
            <v>1392</v>
          </cell>
          <cell r="B410" t="str">
            <v>VITA FOAM</v>
          </cell>
          <cell r="C410" t="str">
            <v>Foam Mattress</v>
          </cell>
          <cell r="D410" t="str">
            <v>(74*60*6) silver</v>
          </cell>
          <cell r="E410" t="str">
            <v>piece</v>
          </cell>
          <cell r="F410" t="str">
            <v>Shillings</v>
          </cell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B412" t="str">
            <v>MANUFACTURE OF WEARING APPAREL</v>
          </cell>
          <cell r="G412"/>
        </row>
        <row r="413">
          <cell r="B413" t="str">
            <v xml:space="preserve"> Manufacture of wearing apparel, except fur apparel</v>
          </cell>
          <cell r="F413" t="str">
            <v>Index</v>
          </cell>
          <cell r="G413">
            <v>17.7780236157529</v>
          </cell>
        </row>
        <row r="414">
          <cell r="A414" t="str">
            <v>1410</v>
          </cell>
          <cell r="B414" t="str">
            <v xml:space="preserve"> Manufacture of wearing apparel, except fur apparel</v>
          </cell>
          <cell r="F414" t="str">
            <v>Geomean</v>
          </cell>
        </row>
        <row r="415">
          <cell r="A415">
            <v>1410</v>
          </cell>
          <cell r="B415" t="str">
            <v>SUNBELT TEXTILES COMPANY LIMITED</v>
          </cell>
          <cell r="C415" t="str">
            <v>bedsheets</v>
          </cell>
          <cell r="D415" t="str">
            <v>bedsheets 5*6</v>
          </cell>
          <cell r="E415" t="str">
            <v>pairs</v>
          </cell>
          <cell r="F415" t="str">
            <v>Shillings</v>
          </cell>
          <cell r="G415"/>
        </row>
        <row r="416">
          <cell r="A416">
            <v>1410</v>
          </cell>
          <cell r="B416" t="str">
            <v>SUNBELT TEXTILES COMPANY LIMITED</v>
          </cell>
          <cell r="C416" t="str">
            <v>bedsheets</v>
          </cell>
          <cell r="D416" t="str">
            <v>bedsheets 4*6</v>
          </cell>
          <cell r="E416" t="str">
            <v>pairs</v>
          </cell>
          <cell r="F416" t="str">
            <v>Shillings</v>
          </cell>
          <cell r="G416"/>
        </row>
        <row r="417">
          <cell r="A417">
            <v>1410</v>
          </cell>
          <cell r="B417" t="str">
            <v>SUNBELT TEXTILES COMPANY LIMITED</v>
          </cell>
          <cell r="C417" t="str">
            <v>bed covers</v>
          </cell>
          <cell r="D417" t="str">
            <v>bed covers 5*6</v>
          </cell>
          <cell r="E417" t="str">
            <v>PIECE</v>
          </cell>
          <cell r="F417" t="str">
            <v>Shillings</v>
          </cell>
          <cell r="G417"/>
        </row>
        <row r="418">
          <cell r="A418">
            <v>1410</v>
          </cell>
          <cell r="B418" t="str">
            <v>SUNBELT TEXTILES COMPANY LIMITED</v>
          </cell>
          <cell r="C418" t="str">
            <v>bed covers</v>
          </cell>
          <cell r="D418" t="str">
            <v>bed covers 6*6</v>
          </cell>
          <cell r="E418" t="str">
            <v>piece</v>
          </cell>
          <cell r="F418" t="str">
            <v>Shillings</v>
          </cell>
          <cell r="G418"/>
        </row>
        <row r="419">
          <cell r="A419">
            <v>1410</v>
          </cell>
          <cell r="B419" t="str">
            <v>SUNBELT TEXTILES COMPANY LIMITED</v>
          </cell>
          <cell r="C419" t="str">
            <v>kitengi</v>
          </cell>
          <cell r="D419" t="str">
            <v>kitengi 6 yards</v>
          </cell>
          <cell r="E419" t="str">
            <v>pieces of 6 yards</v>
          </cell>
          <cell r="F419" t="str">
            <v>Shillings</v>
          </cell>
          <cell r="G419"/>
        </row>
        <row r="420">
          <cell r="A420">
            <v>1410</v>
          </cell>
          <cell r="B420" t="str">
            <v>SUNBELT TEXTILES COMPANY LIMITED</v>
          </cell>
          <cell r="C420" t="str">
            <v>curtains</v>
          </cell>
          <cell r="D420" t="str">
            <v>curtains</v>
          </cell>
          <cell r="E420" t="str">
            <v>2 pairs</v>
          </cell>
          <cell r="F420" t="str">
            <v>Shillings</v>
          </cell>
          <cell r="G420"/>
        </row>
        <row r="421">
          <cell r="A421">
            <v>1410</v>
          </cell>
          <cell r="B421" t="str">
            <v>ALPHA WOOLENS (U) LIMITED</v>
          </cell>
          <cell r="C421" t="str">
            <v>TROUSER AND SHIRT SET</v>
          </cell>
          <cell r="D421" t="str">
            <v>TROUSER AND SHIRT SET</v>
          </cell>
          <cell r="E421" t="str">
            <v>piece</v>
          </cell>
          <cell r="F421" t="str">
            <v>Shillings</v>
          </cell>
          <cell r="G421"/>
        </row>
        <row r="422">
          <cell r="A422">
            <v>1410</v>
          </cell>
          <cell r="B422" t="str">
            <v>ALPHA WOOLENS (U) LIMITED</v>
          </cell>
          <cell r="C422" t="str">
            <v>DUST COAT</v>
          </cell>
          <cell r="D422" t="str">
            <v>DUST COAT</v>
          </cell>
          <cell r="E422" t="str">
            <v>piece</v>
          </cell>
          <cell r="F422" t="str">
            <v>Shillings</v>
          </cell>
          <cell r="G422"/>
        </row>
        <row r="423">
          <cell r="A423">
            <v>1410</v>
          </cell>
          <cell r="B423" t="str">
            <v>ALPHA WOOLENS (U) LIMITED</v>
          </cell>
          <cell r="C423" t="str">
            <v>RAIN COAT</v>
          </cell>
          <cell r="D423" t="str">
            <v>RAIN COAT</v>
          </cell>
          <cell r="E423" t="str">
            <v>piece</v>
          </cell>
          <cell r="F423" t="str">
            <v>Shillings</v>
          </cell>
          <cell r="G423"/>
        </row>
        <row r="424">
          <cell r="A424">
            <v>1410</v>
          </cell>
          <cell r="B424" t="str">
            <v>ALPHA WOOLENS (U) LIMITED</v>
          </cell>
          <cell r="C424" t="str">
            <v>ASKARI JERSEYS</v>
          </cell>
          <cell r="D424" t="str">
            <v>ASKARI JERSEYS</v>
          </cell>
          <cell r="E424" t="str">
            <v>piece</v>
          </cell>
          <cell r="F424" t="str">
            <v>Shillings</v>
          </cell>
          <cell r="G424"/>
        </row>
        <row r="425">
          <cell r="A425">
            <v>1410</v>
          </cell>
          <cell r="B425" t="str">
            <v>ALPHA WOOLENS (U) LIMITED</v>
          </cell>
          <cell r="C425" t="str">
            <v>SWEATER 001 SIZE 38</v>
          </cell>
          <cell r="D425" t="str">
            <v>SWEATER 001 SIZE 38</v>
          </cell>
          <cell r="E425" t="str">
            <v>piece</v>
          </cell>
          <cell r="F425" t="str">
            <v>Shillings</v>
          </cell>
          <cell r="G425"/>
        </row>
        <row r="426">
          <cell r="A426">
            <v>1410</v>
          </cell>
          <cell r="B426" t="str">
            <v>KWERA LIMITED</v>
          </cell>
          <cell r="C426" t="str">
            <v>Kaunda Suit</v>
          </cell>
          <cell r="D426" t="str">
            <v>Kaunda Suit</v>
          </cell>
          <cell r="E426" t="str">
            <v>Piece</v>
          </cell>
          <cell r="F426" t="str">
            <v>Shillings</v>
          </cell>
          <cell r="G426"/>
        </row>
        <row r="427">
          <cell r="A427">
            <v>1410</v>
          </cell>
          <cell r="B427" t="str">
            <v>KWERA LIMITED</v>
          </cell>
          <cell r="C427" t="str">
            <v>Trousers (ordinary Khaki)</v>
          </cell>
          <cell r="D427" t="str">
            <v>Trousers (ordinary Khaki)</v>
          </cell>
          <cell r="E427" t="str">
            <v>Piece</v>
          </cell>
          <cell r="F427" t="str">
            <v>Shillings</v>
          </cell>
          <cell r="G427"/>
        </row>
        <row r="428">
          <cell r="A428">
            <v>1410</v>
          </cell>
          <cell r="B428" t="str">
            <v>KWERA LIMITED</v>
          </cell>
          <cell r="C428" t="str">
            <v>Shirt</v>
          </cell>
          <cell r="D428" t="str">
            <v>Shirt</v>
          </cell>
          <cell r="E428" t="str">
            <v>Piece</v>
          </cell>
          <cell r="F428" t="str">
            <v>Shillings</v>
          </cell>
          <cell r="G428"/>
        </row>
        <row r="429">
          <cell r="A429">
            <v>1410</v>
          </cell>
          <cell r="B429" t="str">
            <v>KWERA LIMITED</v>
          </cell>
          <cell r="C429" t="str">
            <v>Blouse</v>
          </cell>
          <cell r="D429" t="str">
            <v>Blouse</v>
          </cell>
          <cell r="E429" t="str">
            <v>Piece</v>
          </cell>
          <cell r="F429" t="str">
            <v>Shillings</v>
          </cell>
          <cell r="G429"/>
        </row>
        <row r="430">
          <cell r="A430">
            <v>1410</v>
          </cell>
          <cell r="B430" t="str">
            <v>KWERA LIMITED</v>
          </cell>
          <cell r="C430" t="str">
            <v>Overalls</v>
          </cell>
          <cell r="D430" t="str">
            <v>Overalls</v>
          </cell>
          <cell r="E430" t="str">
            <v>Piece</v>
          </cell>
          <cell r="F430" t="str">
            <v>Shillings</v>
          </cell>
          <cell r="G430"/>
        </row>
        <row r="431">
          <cell r="A431">
            <v>1410</v>
          </cell>
          <cell r="B431" t="str">
            <v>KWERA LIMITED</v>
          </cell>
          <cell r="C431" t="str">
            <v>Army/Prison/Police Uniform(suit)</v>
          </cell>
          <cell r="D431" t="str">
            <v>Army/Prison/Police Uniform(suit)</v>
          </cell>
          <cell r="E431" t="str">
            <v>Pair</v>
          </cell>
          <cell r="F431" t="str">
            <v>Shillings</v>
          </cell>
          <cell r="G431"/>
        </row>
        <row r="432">
          <cell r="A432">
            <v>1410</v>
          </cell>
          <cell r="B432" t="str">
            <v>KWERA LIMITED</v>
          </cell>
          <cell r="C432" t="str">
            <v>Sports Uniform</v>
          </cell>
          <cell r="D432" t="str">
            <v>Sports Uniform</v>
          </cell>
          <cell r="E432" t="str">
            <v>pair</v>
          </cell>
          <cell r="F432" t="str">
            <v>Shillings</v>
          </cell>
          <cell r="G432"/>
        </row>
        <row r="433">
          <cell r="A433">
            <v>1410</v>
          </cell>
          <cell r="B433" t="str">
            <v>KWERA LIMITED</v>
          </cell>
          <cell r="C433" t="str">
            <v>Overcoat</v>
          </cell>
          <cell r="D433" t="str">
            <v>Overcoat</v>
          </cell>
          <cell r="E433" t="str">
            <v>piece</v>
          </cell>
          <cell r="F433" t="str">
            <v>Shillings</v>
          </cell>
          <cell r="G433"/>
        </row>
        <row r="434">
          <cell r="A434">
            <v>1410</v>
          </cell>
          <cell r="B434" t="str">
            <v>KWERA LIMITED</v>
          </cell>
          <cell r="C434" t="str">
            <v>Dresses</v>
          </cell>
          <cell r="D434" t="str">
            <v>Dresses</v>
          </cell>
          <cell r="E434" t="str">
            <v>piece</v>
          </cell>
          <cell r="F434" t="str">
            <v>Shillings</v>
          </cell>
          <cell r="G434"/>
        </row>
        <row r="435">
          <cell r="A435">
            <v>1410</v>
          </cell>
          <cell r="B435" t="str">
            <v>KWERA LIMITED</v>
          </cell>
          <cell r="C435" t="str">
            <v>school Uniform</v>
          </cell>
          <cell r="D435" t="str">
            <v>school Uniform</v>
          </cell>
          <cell r="E435" t="str">
            <v>piece</v>
          </cell>
          <cell r="F435" t="str">
            <v>Shillings</v>
          </cell>
          <cell r="G435"/>
        </row>
        <row r="436">
          <cell r="A436">
            <v>1410</v>
          </cell>
          <cell r="B436" t="str">
            <v>FINE SPINNERS UGANDA LTD</v>
          </cell>
          <cell r="C436" t="str">
            <v>Apparels</v>
          </cell>
          <cell r="D436" t="str">
            <v>Round neck T-shirts</v>
          </cell>
          <cell r="E436" t="str">
            <v>per piece</v>
          </cell>
          <cell r="F436" t="str">
            <v>Shillings</v>
          </cell>
          <cell r="G436"/>
        </row>
        <row r="437">
          <cell r="A437">
            <v>1410</v>
          </cell>
          <cell r="B437" t="str">
            <v>FINE SPINNERS UGANDA LTD</v>
          </cell>
          <cell r="C437" t="str">
            <v>Apparels</v>
          </cell>
          <cell r="D437" t="str">
            <v>Apollos</v>
          </cell>
          <cell r="E437" t="str">
            <v>per piece</v>
          </cell>
          <cell r="F437" t="str">
            <v>Shillings</v>
          </cell>
          <cell r="G437"/>
        </row>
        <row r="438">
          <cell r="A438">
            <v>1410</v>
          </cell>
          <cell r="B438" t="str">
            <v>FINE SPINNERS UGANDA LTD</v>
          </cell>
          <cell r="C438" t="str">
            <v>Apparels</v>
          </cell>
          <cell r="D438" t="str">
            <v>Cooperate wears</v>
          </cell>
          <cell r="E438" t="str">
            <v>full set</v>
          </cell>
          <cell r="F438" t="str">
            <v>Shillings</v>
          </cell>
          <cell r="G438"/>
        </row>
        <row r="439">
          <cell r="A439">
            <v>1410</v>
          </cell>
          <cell r="B439" t="str">
            <v>FINE SPINNERS UGANDA LTD</v>
          </cell>
          <cell r="C439" t="str">
            <v>Apparels</v>
          </cell>
          <cell r="D439" t="str">
            <v>Protective wears (ovals)</v>
          </cell>
          <cell r="E439" t="str">
            <v>full set</v>
          </cell>
          <cell r="F439" t="str">
            <v>Shillings</v>
          </cell>
          <cell r="G439"/>
        </row>
        <row r="440">
          <cell r="A440">
            <v>1311</v>
          </cell>
          <cell r="B440" t="str">
            <v>FINE SPINNERS UGANDA LTD</v>
          </cell>
          <cell r="C440" t="str">
            <v>Textiles</v>
          </cell>
          <cell r="D440" t="str">
            <v>Knitted Fabrics</v>
          </cell>
          <cell r="E440" t="str">
            <v>Kilogram/ metre</v>
          </cell>
          <cell r="F440" t="str">
            <v>Shillings</v>
          </cell>
          <cell r="G440"/>
        </row>
        <row r="441">
          <cell r="A441">
            <v>1410</v>
          </cell>
          <cell r="B441" t="str">
            <v>WINFRED FASHION DESIGNERS LIMITED</v>
          </cell>
          <cell r="C441" t="str">
            <v>Aprons (1/2 Aprons)</v>
          </cell>
          <cell r="D441" t="str">
            <v>Half apron front covering</v>
          </cell>
          <cell r="E441" t="str">
            <v>piece</v>
          </cell>
          <cell r="F441" t="str">
            <v>Shillings</v>
          </cell>
          <cell r="G441"/>
        </row>
        <row r="442">
          <cell r="A442">
            <v>1410</v>
          </cell>
          <cell r="B442" t="str">
            <v>WINFRED FASHION DESIGNERS LIMITED</v>
          </cell>
          <cell r="C442" t="str">
            <v>Aprons (Full Aprons)</v>
          </cell>
          <cell r="D442" t="str">
            <v xml:space="preserve">Apron with Front covering </v>
          </cell>
          <cell r="E442" t="str">
            <v>piece</v>
          </cell>
          <cell r="F442" t="str">
            <v>Shillings</v>
          </cell>
          <cell r="G442"/>
        </row>
        <row r="443">
          <cell r="A443">
            <v>1410</v>
          </cell>
          <cell r="B443" t="str">
            <v>WINFRED FASHION DESIGNERS LIMITED</v>
          </cell>
          <cell r="C443" t="str">
            <v>Chef Jackets</v>
          </cell>
          <cell r="D443" t="str">
            <v>Coat-like Jackets</v>
          </cell>
          <cell r="E443" t="str">
            <v>piece</v>
          </cell>
          <cell r="F443" t="str">
            <v>Shillings</v>
          </cell>
          <cell r="G443"/>
        </row>
        <row r="444">
          <cell r="A444">
            <v>1410</v>
          </cell>
          <cell r="B444" t="str">
            <v>WINFRED FASHION DESIGNERS LIMITED</v>
          </cell>
          <cell r="C444" t="str">
            <v xml:space="preserve">Dresses </v>
          </cell>
          <cell r="D444" t="str">
            <v>Hard Chequed Dress</v>
          </cell>
          <cell r="E444" t="str">
            <v>piece</v>
          </cell>
          <cell r="F444" t="str">
            <v>Shillings</v>
          </cell>
          <cell r="G444"/>
        </row>
        <row r="445">
          <cell r="A445">
            <v>1410</v>
          </cell>
          <cell r="B445" t="str">
            <v>WINFRED FASHION DESIGNERS LIMITED</v>
          </cell>
          <cell r="C445" t="str">
            <v>Head Cap (Cap)</v>
          </cell>
          <cell r="D445" t="str">
            <v>head cap</v>
          </cell>
          <cell r="E445" t="str">
            <v>piece</v>
          </cell>
          <cell r="F445" t="str">
            <v>Shillings</v>
          </cell>
          <cell r="G445"/>
        </row>
        <row r="446">
          <cell r="A446">
            <v>1410</v>
          </cell>
          <cell r="B446" t="str">
            <v>WINFRED FASHION DESIGNERS LIMITED</v>
          </cell>
          <cell r="C446" t="str">
            <v>Shirts</v>
          </cell>
          <cell r="D446" t="str">
            <v>short sleeved Shirts</v>
          </cell>
          <cell r="E446" t="str">
            <v>piece</v>
          </cell>
          <cell r="F446" t="str">
            <v>Shillings</v>
          </cell>
          <cell r="G446"/>
        </row>
        <row r="447">
          <cell r="A447">
            <v>1410</v>
          </cell>
          <cell r="B447" t="str">
            <v>WINFRED FASHION DESIGNERS LIMITED</v>
          </cell>
          <cell r="C447" t="str">
            <v>Shorts</v>
          </cell>
          <cell r="D447" t="str">
            <v>Short</v>
          </cell>
          <cell r="E447" t="str">
            <v>piece</v>
          </cell>
          <cell r="F447" t="str">
            <v>Shillings</v>
          </cell>
          <cell r="G447"/>
        </row>
        <row r="448">
          <cell r="A448">
            <v>1410</v>
          </cell>
          <cell r="B448" t="str">
            <v>WINFRED FASHION DESIGNERS LIMITED</v>
          </cell>
          <cell r="C448" t="str">
            <v>overcoat</v>
          </cell>
          <cell r="D448" t="str">
            <v>laboratory protective</v>
          </cell>
          <cell r="E448" t="str">
            <v>piece</v>
          </cell>
          <cell r="F448" t="str">
            <v>Shillings</v>
          </cell>
          <cell r="G448"/>
        </row>
        <row r="449">
          <cell r="A449">
            <v>1410</v>
          </cell>
          <cell r="B449" t="str">
            <v>WINFRED FASHION DESIGNERS LIMITED</v>
          </cell>
          <cell r="C449" t="str">
            <v>overall</v>
          </cell>
          <cell r="D449" t="str">
            <v>One piece over all</v>
          </cell>
          <cell r="E449" t="str">
            <v>piece</v>
          </cell>
          <cell r="F449" t="str">
            <v>Shillings</v>
          </cell>
          <cell r="G449"/>
        </row>
        <row r="450">
          <cell r="A450">
            <v>1410</v>
          </cell>
          <cell r="B450" t="str">
            <v>WINFRED FASHION DESIGNERS LIMITED</v>
          </cell>
          <cell r="C450" t="str">
            <v xml:space="preserve">Skirts </v>
          </cell>
          <cell r="D450" t="str">
            <v>Hard Chequed Skirts</v>
          </cell>
          <cell r="E450" t="str">
            <v>piece</v>
          </cell>
          <cell r="F450" t="str">
            <v>Shillings</v>
          </cell>
          <cell r="G450"/>
        </row>
        <row r="451">
          <cell r="A451">
            <v>1410</v>
          </cell>
          <cell r="B451" t="str">
            <v>UGANDA SWEATERS CO. LIMITED</v>
          </cell>
          <cell r="C451" t="str">
            <v>School Sweater Baby Class (Size 22)</v>
          </cell>
          <cell r="D451" t="str">
            <v xml:space="preserve"> Size 22</v>
          </cell>
          <cell r="E451" t="str">
            <v>piece</v>
          </cell>
          <cell r="F451" t="str">
            <v>Shillings</v>
          </cell>
          <cell r="G451"/>
        </row>
        <row r="452">
          <cell r="A452">
            <v>1410</v>
          </cell>
          <cell r="B452" t="str">
            <v>UGANDA SWEATERS CO. LIMITED</v>
          </cell>
          <cell r="C452" t="str">
            <v>School Sweater Middle Class (Size 24)</v>
          </cell>
          <cell r="D452" t="str">
            <v>Size24</v>
          </cell>
          <cell r="E452" t="str">
            <v>piece</v>
          </cell>
          <cell r="F452" t="str">
            <v>Shillings</v>
          </cell>
          <cell r="G452"/>
        </row>
        <row r="453">
          <cell r="A453">
            <v>1410</v>
          </cell>
          <cell r="B453" t="str">
            <v>UGANDA SWEATERS CO. LIMITED</v>
          </cell>
          <cell r="C453" t="str">
            <v>School Sweater P.1-P.2 (Size 28)</v>
          </cell>
          <cell r="D453" t="str">
            <v>size 28</v>
          </cell>
          <cell r="E453" t="str">
            <v>piece</v>
          </cell>
          <cell r="F453" t="str">
            <v>Shillings</v>
          </cell>
          <cell r="G453"/>
        </row>
        <row r="454">
          <cell r="A454">
            <v>1410</v>
          </cell>
          <cell r="B454" t="str">
            <v>UGANDA SWEATERS CO. LIMITED</v>
          </cell>
          <cell r="C454" t="str">
            <v>School Sweater Top Class (Size 26)</v>
          </cell>
          <cell r="D454" t="str">
            <v>size 26</v>
          </cell>
          <cell r="E454" t="str">
            <v>piece</v>
          </cell>
          <cell r="F454" t="str">
            <v>Shillings</v>
          </cell>
          <cell r="G454"/>
        </row>
        <row r="455">
          <cell r="A455"/>
          <cell r="B455"/>
          <cell r="C455"/>
          <cell r="D455"/>
          <cell r="E455"/>
          <cell r="F455"/>
          <cell r="G455"/>
        </row>
        <row r="456">
          <cell r="A456" t="str">
            <v>CFL</v>
          </cell>
          <cell r="B456" t="str">
            <v>MANUFACTURE OF LEATHER &amp; RELATED PRODUCTS</v>
          </cell>
        </row>
        <row r="457">
          <cell r="B457" t="str">
            <v>Tanning and dressing of leather; manufacture of luggage, handbags, saddlery and 'harness; dressing and dyeing of fur</v>
          </cell>
          <cell r="G457"/>
        </row>
        <row r="458">
          <cell r="A458" t="str">
            <v>1520</v>
          </cell>
          <cell r="B458" t="str">
            <v>Manufacture of footwear</v>
          </cell>
          <cell r="F458" t="str">
            <v>Index</v>
          </cell>
          <cell r="G458">
            <v>15.1431032759355</v>
          </cell>
        </row>
        <row r="459">
          <cell r="A459">
            <v>1520</v>
          </cell>
          <cell r="B459" t="str">
            <v xml:space="preserve"> Manufacture of footwear</v>
          </cell>
          <cell r="E459"/>
          <cell r="F459" t="str">
            <v>Geomean</v>
          </cell>
          <cell r="G459"/>
        </row>
        <row r="460">
          <cell r="A460">
            <v>1520</v>
          </cell>
          <cell r="B460" t="str">
            <v>RHINO FOOTWEAR LIMITED</v>
          </cell>
          <cell r="C460" t="str">
            <v>Gumboots</v>
          </cell>
          <cell r="D460" t="str">
            <v>Heavy duty paired</v>
          </cell>
          <cell r="E460" t="str">
            <v>pair</v>
          </cell>
          <cell r="F460" t="str">
            <v>Shillings</v>
          </cell>
          <cell r="G460"/>
        </row>
        <row r="461">
          <cell r="A461">
            <v>1520</v>
          </cell>
          <cell r="B461" t="str">
            <v>RHINO FOOTWEAR LIMITED</v>
          </cell>
          <cell r="C461" t="str">
            <v>Tommy</v>
          </cell>
          <cell r="D461" t="str">
            <v>Tommy</v>
          </cell>
          <cell r="E461" t="str">
            <v>pair</v>
          </cell>
          <cell r="F461" t="str">
            <v>Shillings</v>
          </cell>
          <cell r="G461"/>
        </row>
        <row r="462">
          <cell r="A462">
            <v>1520</v>
          </cell>
          <cell r="B462" t="str">
            <v>RHINO FOOTWEAR LIMITED</v>
          </cell>
          <cell r="C462" t="str">
            <v>Plain Gumboots</v>
          </cell>
          <cell r="D462" t="str">
            <v>Plain -light duty Single coloured gumboots</v>
          </cell>
          <cell r="E462" t="str">
            <v>pair</v>
          </cell>
          <cell r="F462" t="str">
            <v>Shillings</v>
          </cell>
          <cell r="G462"/>
        </row>
        <row r="463">
          <cell r="A463">
            <v>1520</v>
          </cell>
          <cell r="B463" t="str">
            <v xml:space="preserve">Moustache (GOLDEN INDUSTRIES) U LIMITED </v>
          </cell>
          <cell r="C463" t="str">
            <v>Lady slippers</v>
          </cell>
          <cell r="D463" t="str">
            <v>Slippers with Rubber soles</v>
          </cell>
          <cell r="E463" t="str">
            <v xml:space="preserve">carton </v>
          </cell>
          <cell r="F463" t="str">
            <v>Shillings</v>
          </cell>
          <cell r="G463"/>
        </row>
        <row r="464">
          <cell r="A464">
            <v>1520</v>
          </cell>
          <cell r="B464" t="str">
            <v xml:space="preserve">Moustache (GOLDEN INDUSTRIES) U LIMITED </v>
          </cell>
          <cell r="C464" t="str">
            <v>Wood Soles</v>
          </cell>
          <cell r="D464" t="str">
            <v>Slippers with Wooden soles</v>
          </cell>
          <cell r="E464" t="str">
            <v xml:space="preserve">carton </v>
          </cell>
          <cell r="F464" t="str">
            <v>Shillings</v>
          </cell>
          <cell r="G464"/>
        </row>
        <row r="465">
          <cell r="A465">
            <v>1520</v>
          </cell>
          <cell r="B465" t="str">
            <v>JORA SHOES</v>
          </cell>
          <cell r="C465" t="str">
            <v>School shoes</v>
          </cell>
          <cell r="D465" t="str">
            <v>Leather PVC soles</v>
          </cell>
          <cell r="E465" t="str">
            <v>pair</v>
          </cell>
          <cell r="F465" t="str">
            <v>Shillings</v>
          </cell>
          <cell r="G465"/>
        </row>
        <row r="466">
          <cell r="A466">
            <v>1520</v>
          </cell>
          <cell r="B466" t="str">
            <v>JORA SHOES</v>
          </cell>
          <cell r="C466" t="str">
            <v>Safety shoes</v>
          </cell>
          <cell r="D466" t="str">
            <v>Leather PVC soles</v>
          </cell>
          <cell r="E466" t="str">
            <v>pair</v>
          </cell>
          <cell r="F466" t="str">
            <v>Shillings</v>
          </cell>
          <cell r="G466"/>
        </row>
        <row r="467">
          <cell r="A467">
            <v>1520</v>
          </cell>
          <cell r="B467" t="str">
            <v>JORA SHOES</v>
          </cell>
          <cell r="C467" t="str">
            <v>Gentle shoes</v>
          </cell>
          <cell r="D467" t="str">
            <v>Leather PVC soles</v>
          </cell>
          <cell r="E467" t="str">
            <v>pair</v>
          </cell>
          <cell r="F467" t="str">
            <v>Shillings</v>
          </cell>
          <cell r="G467"/>
        </row>
        <row r="468">
          <cell r="A468">
            <v>1520</v>
          </cell>
          <cell r="B468" t="str">
            <v>JORA SHOES</v>
          </cell>
          <cell r="C468" t="str">
            <v>Security shoes</v>
          </cell>
          <cell r="D468" t="str">
            <v>Leather PVC soles</v>
          </cell>
          <cell r="E468" t="str">
            <v>pair</v>
          </cell>
          <cell r="F468" t="str">
            <v>Shillings</v>
          </cell>
          <cell r="G468"/>
        </row>
        <row r="469">
          <cell r="A469"/>
          <cell r="B469"/>
          <cell r="C469"/>
          <cell r="D469"/>
          <cell r="E469"/>
          <cell r="F469"/>
          <cell r="G469"/>
        </row>
        <row r="470">
          <cell r="B470" t="str">
            <v>MANUFACTURE OF WOOD AND PRODUCTS OF WOOD, CORK, EXCEPT FURNITURE</v>
          </cell>
        </row>
        <row r="471">
          <cell r="A471" t="str">
            <v>1622</v>
          </cell>
          <cell r="B471" t="str">
            <v xml:space="preserve"> Manufacture of builders’ carpentry and joinery</v>
          </cell>
          <cell r="F471" t="str">
            <v>Index</v>
          </cell>
          <cell r="G471">
            <v>2.6298326565708301</v>
          </cell>
        </row>
        <row r="472">
          <cell r="A472" t="str">
            <v>1622</v>
          </cell>
          <cell r="B472" t="str">
            <v xml:space="preserve"> Manufacture of builders’ carpentry and joinery</v>
          </cell>
          <cell r="E472"/>
          <cell r="F472" t="str">
            <v>Geomean</v>
          </cell>
          <cell r="G472"/>
        </row>
        <row r="473">
          <cell r="A473">
            <v>1622</v>
          </cell>
          <cell r="B473" t="str">
            <v>NILE PLYWOOD (u) LIMITED</v>
          </cell>
          <cell r="C473" t="str">
            <v>plywoods</v>
          </cell>
          <cell r="D473" t="str">
            <v>Plywoods (wholesale)</v>
          </cell>
          <cell r="E473" t="str">
            <v>Piece</v>
          </cell>
          <cell r="F473" t="str">
            <v>Shillings</v>
          </cell>
          <cell r="G473"/>
        </row>
        <row r="474">
          <cell r="A474">
            <v>1622</v>
          </cell>
          <cell r="B474" t="str">
            <v>NILE PLYWOOD (u) LIMITED</v>
          </cell>
          <cell r="C474" t="str">
            <v>Block Board</v>
          </cell>
          <cell r="D474" t="str">
            <v>Blocks Boards</v>
          </cell>
          <cell r="E474" t="str">
            <v>Piece</v>
          </cell>
          <cell r="F474" t="str">
            <v>Shillings</v>
          </cell>
          <cell r="G474"/>
        </row>
        <row r="475">
          <cell r="A475">
            <v>1622</v>
          </cell>
          <cell r="B475" t="str">
            <v>NILE PLYWOOD (u) LIMITED</v>
          </cell>
          <cell r="C475" t="str">
            <v>Ceiling Board</v>
          </cell>
          <cell r="D475" t="str">
            <v>Ceiling Board</v>
          </cell>
          <cell r="E475" t="str">
            <v>Piece</v>
          </cell>
          <cell r="F475" t="str">
            <v>Shillings</v>
          </cell>
          <cell r="G475"/>
        </row>
        <row r="476">
          <cell r="A476">
            <v>1622</v>
          </cell>
          <cell r="B476" t="str">
            <v>NILE PLYWOOD (u) LIMITED</v>
          </cell>
          <cell r="C476" t="str">
            <v>Particle Board</v>
          </cell>
          <cell r="D476" t="str">
            <v>Particle Board</v>
          </cell>
          <cell r="E476" t="str">
            <v>Piece</v>
          </cell>
          <cell r="F476" t="str">
            <v>Shillings</v>
          </cell>
          <cell r="G476"/>
        </row>
        <row r="477">
          <cell r="A477">
            <v>1622</v>
          </cell>
          <cell r="B477" t="str">
            <v>KAMPALA POLE TREATMENT</v>
          </cell>
          <cell r="C477" t="str">
            <v>Pole( Telecom)</v>
          </cell>
          <cell r="D477" t="str">
            <v>9 Meter Pole</v>
          </cell>
          <cell r="E477" t="str">
            <v>per pole</v>
          </cell>
          <cell r="F477" t="str">
            <v>Shillings</v>
          </cell>
          <cell r="G477"/>
        </row>
        <row r="478">
          <cell r="A478">
            <v>1622</v>
          </cell>
          <cell r="B478" t="str">
            <v>KAMPALA POLE TREATMENT</v>
          </cell>
          <cell r="C478" t="str">
            <v>14 Meter Poles</v>
          </cell>
          <cell r="D478" t="str">
            <v xml:space="preserve">14 Meter poles </v>
          </cell>
          <cell r="E478" t="str">
            <v>per pole</v>
          </cell>
          <cell r="F478" t="str">
            <v>Shillings</v>
          </cell>
          <cell r="G478"/>
        </row>
        <row r="479">
          <cell r="A479">
            <v>1622</v>
          </cell>
          <cell r="B479" t="str">
            <v>KAMPALA POLE TREATMENT</v>
          </cell>
          <cell r="C479" t="str">
            <v>Pole (Electric)</v>
          </cell>
          <cell r="D479" t="str">
            <v>Stub 1 metre</v>
          </cell>
          <cell r="E479" t="str">
            <v>per pole</v>
          </cell>
          <cell r="F479" t="str">
            <v>Shillings</v>
          </cell>
          <cell r="G479"/>
        </row>
        <row r="480">
          <cell r="A480">
            <v>1622</v>
          </cell>
          <cell r="B480" t="str">
            <v>KAMPALA POLE TREATMENT</v>
          </cell>
          <cell r="C480" t="str">
            <v>10 Meter Poles</v>
          </cell>
          <cell r="D480" t="str">
            <v>10 Meter poles</v>
          </cell>
          <cell r="E480" t="str">
            <v>per pole</v>
          </cell>
          <cell r="F480" t="str">
            <v>Shillings</v>
          </cell>
          <cell r="G480"/>
        </row>
        <row r="481">
          <cell r="A481">
            <v>1622</v>
          </cell>
          <cell r="B481" t="str">
            <v>KAMPALA POLE TREATMENT</v>
          </cell>
          <cell r="C481" t="str">
            <v>12 Meter Poles</v>
          </cell>
          <cell r="D481" t="str">
            <v>12 Meter poles</v>
          </cell>
          <cell r="E481" t="str">
            <v>per pole</v>
          </cell>
          <cell r="F481" t="str">
            <v>Shillings</v>
          </cell>
          <cell r="G481"/>
        </row>
        <row r="482">
          <cell r="A482">
            <v>1622</v>
          </cell>
          <cell r="B482" t="str">
            <v xml:space="preserve">NILE HOUSE </v>
          </cell>
          <cell r="C482" t="str">
            <v>Door Frame with Vent</v>
          </cell>
          <cell r="D482" t="str">
            <v>900 by 2400 by 200</v>
          </cell>
          <cell r="E482" t="str">
            <v>per piece</v>
          </cell>
          <cell r="F482" t="str">
            <v>Shillings</v>
          </cell>
          <cell r="G482"/>
        </row>
        <row r="483">
          <cell r="A483">
            <v>1622</v>
          </cell>
          <cell r="B483" t="str">
            <v xml:space="preserve">NILE HOUSE </v>
          </cell>
          <cell r="C483" t="str">
            <v>Door Frame without Vent</v>
          </cell>
          <cell r="D483" t="str">
            <v>900 by 2100 by 200</v>
          </cell>
          <cell r="E483" t="str">
            <v>per piece</v>
          </cell>
          <cell r="F483" t="str">
            <v>Shillings</v>
          </cell>
          <cell r="G483"/>
        </row>
        <row r="484">
          <cell r="A484">
            <v>1622</v>
          </cell>
          <cell r="B484" t="str">
            <v>ST JOSEPHS DIVINE WORKS LIMITED</v>
          </cell>
          <cell r="C484" t="str">
            <v>Door Frame</v>
          </cell>
          <cell r="D484" t="str">
            <v>Door Frame-Mahogany Timber</v>
          </cell>
          <cell r="E484" t="str">
            <v>Piece</v>
          </cell>
          <cell r="F484" t="str">
            <v>Shillings</v>
          </cell>
          <cell r="G484"/>
        </row>
        <row r="485">
          <cell r="A485">
            <v>1622</v>
          </cell>
          <cell r="B485" t="str">
            <v>ST JOSEPHS DIVINE WORKS LIMITED</v>
          </cell>
          <cell r="C485" t="str">
            <v>Door Shutter</v>
          </cell>
          <cell r="D485" t="str">
            <v>Door Shutter-Standard size</v>
          </cell>
          <cell r="E485" t="str">
            <v>Piece</v>
          </cell>
          <cell r="F485" t="str">
            <v>Shillings</v>
          </cell>
          <cell r="G485"/>
        </row>
        <row r="486">
          <cell r="A486">
            <v>1622</v>
          </cell>
          <cell r="B486" t="str">
            <v>SILLAH LIMITED</v>
          </cell>
          <cell r="C486" t="str">
            <v>camp chairs</v>
          </cell>
          <cell r="D486" t="str">
            <v>camp chairs</v>
          </cell>
          <cell r="E486" t="str">
            <v>per piece</v>
          </cell>
          <cell r="F486" t="str">
            <v>Shillings</v>
          </cell>
          <cell r="G486"/>
        </row>
        <row r="487">
          <cell r="A487">
            <v>1622</v>
          </cell>
          <cell r="B487" t="str">
            <v>SILLAH LIMITED</v>
          </cell>
          <cell r="C487" t="str">
            <v>camp tables</v>
          </cell>
          <cell r="D487" t="str">
            <v>camp tables</v>
          </cell>
          <cell r="E487" t="str">
            <v>per piece</v>
          </cell>
          <cell r="F487" t="str">
            <v>Shillings</v>
          </cell>
          <cell r="G487"/>
        </row>
        <row r="488">
          <cell r="A488">
            <v>1622</v>
          </cell>
          <cell r="B488" t="str">
            <v>SILLAH LIMITED</v>
          </cell>
          <cell r="C488" t="str">
            <v>office furniture</v>
          </cell>
          <cell r="D488" t="str">
            <v>office furniture</v>
          </cell>
          <cell r="E488" t="str">
            <v>per piece</v>
          </cell>
          <cell r="F488" t="str">
            <v>Shillings</v>
          </cell>
          <cell r="G488"/>
        </row>
        <row r="489">
          <cell r="A489">
            <v>1622</v>
          </cell>
          <cell r="B489" t="str">
            <v>SILLAH LIMITED</v>
          </cell>
          <cell r="C489" t="str">
            <v>home furniture</v>
          </cell>
          <cell r="D489" t="str">
            <v>home furniture</v>
          </cell>
          <cell r="E489" t="str">
            <v>per piece</v>
          </cell>
          <cell r="F489" t="str">
            <v>Shillings</v>
          </cell>
          <cell r="G489"/>
        </row>
        <row r="490">
          <cell r="A490"/>
          <cell r="B490"/>
          <cell r="C490"/>
          <cell r="D490"/>
          <cell r="E490"/>
          <cell r="F490"/>
          <cell r="G490"/>
        </row>
        <row r="491">
          <cell r="B491" t="str">
            <v>Manufacture of paper and paper products</v>
          </cell>
        </row>
        <row r="492">
          <cell r="A492" t="str">
            <v>1701</v>
          </cell>
          <cell r="B492" t="str">
            <v xml:space="preserve"> Manufacture of pulp, paper and paperboard</v>
          </cell>
          <cell r="F492" t="str">
            <v>Index</v>
          </cell>
          <cell r="G492">
            <v>0.96095840983093905</v>
          </cell>
        </row>
        <row r="493">
          <cell r="B493" t="str">
            <v xml:space="preserve"> Manufacture of pulp, paper and paperboard</v>
          </cell>
          <cell r="F493" t="str">
            <v>Geomean</v>
          </cell>
          <cell r="G493"/>
        </row>
        <row r="494">
          <cell r="A494">
            <v>1701</v>
          </cell>
          <cell r="B494" t="str">
            <v>TRANSPAPER LIMITED</v>
          </cell>
          <cell r="C494" t="str">
            <v>A4 White 12.8"X9"</v>
          </cell>
          <cell r="D494" t="str">
            <v>A4 White 12.8"X9"</v>
          </cell>
          <cell r="E494" t="str">
            <v>CARTON of 5 reams</v>
          </cell>
          <cell r="F494" t="str">
            <v>Shillings</v>
          </cell>
          <cell r="G494"/>
        </row>
        <row r="495">
          <cell r="A495">
            <v>1701</v>
          </cell>
          <cell r="B495" t="str">
            <v>UGANDA PULP AND PAPER MILLS</v>
          </cell>
          <cell r="C495" t="str">
            <v>Kraft Test Liner</v>
          </cell>
          <cell r="D495" t="str">
            <v>Testing  Liner</v>
          </cell>
          <cell r="E495" t="str">
            <v>Tonne</v>
          </cell>
          <cell r="F495" t="str">
            <v>Shillings</v>
          </cell>
          <cell r="G495"/>
        </row>
        <row r="496">
          <cell r="A496">
            <v>1701</v>
          </cell>
          <cell r="B496" t="str">
            <v>KEN GROUP INDUSTRIES</v>
          </cell>
          <cell r="C496" t="str">
            <v>Arrow Books</v>
          </cell>
          <cell r="D496" t="str">
            <v>Arrow Lami 360 pages, A Carton of 24 pcs each</v>
          </cell>
          <cell r="E496" t="str">
            <v>CARTON</v>
          </cell>
          <cell r="F496" t="str">
            <v>Shillings</v>
          </cell>
          <cell r="G496"/>
        </row>
        <row r="497">
          <cell r="A497">
            <v>1701</v>
          </cell>
          <cell r="B497" t="str">
            <v>KEN GROUP INDUSTRIES</v>
          </cell>
          <cell r="C497" t="str">
            <v xml:space="preserve">Arrow Notebook </v>
          </cell>
          <cell r="D497" t="str">
            <v>160 pages, A4</v>
          </cell>
          <cell r="E497" t="str">
            <v>CARTON</v>
          </cell>
          <cell r="F497" t="str">
            <v>Shillings</v>
          </cell>
          <cell r="G497"/>
        </row>
        <row r="498">
          <cell r="A498">
            <v>1701</v>
          </cell>
          <cell r="B498" t="str">
            <v>KEN GROUP INDUSTRIES</v>
          </cell>
          <cell r="C498" t="str">
            <v>Arrow Notebook</v>
          </cell>
          <cell r="D498" t="str">
            <v>240 pages, A4</v>
          </cell>
          <cell r="E498" t="str">
            <v>CARTON</v>
          </cell>
          <cell r="F498" t="str">
            <v>Shillings</v>
          </cell>
          <cell r="G498"/>
        </row>
        <row r="499">
          <cell r="A499">
            <v>1701</v>
          </cell>
          <cell r="B499" t="str">
            <v>KEN GROUP INDUSTRIES</v>
          </cell>
          <cell r="C499" t="str">
            <v>Exercise Book</v>
          </cell>
          <cell r="D499" t="str">
            <v>120 pages, A5</v>
          </cell>
          <cell r="E499" t="str">
            <v>piece</v>
          </cell>
          <cell r="F499" t="str">
            <v>Shillings</v>
          </cell>
          <cell r="G499"/>
        </row>
        <row r="500">
          <cell r="A500">
            <v>1701</v>
          </cell>
          <cell r="B500" t="str">
            <v>KEN GROUP INDUSTRIES</v>
          </cell>
          <cell r="C500" t="str">
            <v>Flip Charts 50 Shts</v>
          </cell>
          <cell r="D500" t="str">
            <v>50 sheets</v>
          </cell>
          <cell r="E500" t="str">
            <v>A packet of 12 pcs</v>
          </cell>
          <cell r="F500" t="str">
            <v>Shillings</v>
          </cell>
          <cell r="G500"/>
        </row>
        <row r="501">
          <cell r="A501">
            <v>1701</v>
          </cell>
          <cell r="B501" t="str">
            <v>KEN GROUP INDUSTRIES</v>
          </cell>
          <cell r="C501" t="str">
            <v>Flip Charts 30 Chts</v>
          </cell>
          <cell r="D501" t="str">
            <v>30 sheets</v>
          </cell>
          <cell r="E501" t="str">
            <v>A packet of 10 pcs</v>
          </cell>
          <cell r="F501" t="str">
            <v>Shillings</v>
          </cell>
          <cell r="G501"/>
        </row>
        <row r="502">
          <cell r="A502">
            <v>1701</v>
          </cell>
          <cell r="B502" t="str">
            <v>KEN GROUP INDUSTRIES</v>
          </cell>
          <cell r="C502" t="str">
            <v>ream ruled</v>
          </cell>
          <cell r="D502" t="str">
            <v>500sheets A4</v>
          </cell>
          <cell r="E502" t="str">
            <v>ream</v>
          </cell>
          <cell r="F502" t="str">
            <v>Shillings</v>
          </cell>
          <cell r="G502"/>
        </row>
        <row r="503">
          <cell r="A503">
            <v>1701</v>
          </cell>
          <cell r="B503" t="str">
            <v>GLOBAL PAPER PRODUCTS LTD</v>
          </cell>
          <cell r="C503" t="str">
            <v>CORE</v>
          </cell>
          <cell r="D503" t="str">
            <v>CORE MATERIALS</v>
          </cell>
          <cell r="E503" t="str">
            <v>Tonne</v>
          </cell>
          <cell r="F503" t="str">
            <v>Shillings</v>
          </cell>
          <cell r="G503"/>
        </row>
        <row r="504">
          <cell r="A504">
            <v>1701</v>
          </cell>
          <cell r="B504" t="str">
            <v>Crown Papers (E.A) Limited (CROWN CONVERTERS LIMITED)</v>
          </cell>
          <cell r="C504" t="str">
            <v>Ruled paper</v>
          </cell>
          <cell r="D504" t="str">
            <v>Ruled paper</v>
          </cell>
          <cell r="E504" t="str">
            <v>Ream</v>
          </cell>
          <cell r="F504" t="str">
            <v>Shillings</v>
          </cell>
          <cell r="G504"/>
        </row>
        <row r="505">
          <cell r="A505">
            <v>1701</v>
          </cell>
          <cell r="B505" t="str">
            <v>Crown Papers (E.A) Limited (CROWN CONVERTERS LIMITED)</v>
          </cell>
          <cell r="C505" t="str">
            <v>Duplicating paper</v>
          </cell>
          <cell r="D505" t="str">
            <v>Duplicating paper</v>
          </cell>
          <cell r="E505" t="str">
            <v>Ream</v>
          </cell>
          <cell r="F505" t="str">
            <v>Shillings</v>
          </cell>
          <cell r="G505"/>
        </row>
        <row r="506">
          <cell r="A506">
            <v>1701</v>
          </cell>
          <cell r="B506" t="str">
            <v>Crown Papers (E.A) Limited (CROWN CONVERTERS LIMITED)</v>
          </cell>
          <cell r="C506" t="str">
            <v>Envelopes</v>
          </cell>
          <cell r="D506" t="str">
            <v>Envelope (Kwaki &amp; White)</v>
          </cell>
          <cell r="E506" t="str">
            <v>Box (500 envelopes)</v>
          </cell>
          <cell r="F506" t="str">
            <v>Shillings</v>
          </cell>
          <cell r="G506"/>
        </row>
        <row r="507">
          <cell r="A507">
            <v>1701</v>
          </cell>
          <cell r="B507" t="str">
            <v>Crown Papers (E.A) Limited (CROWN CONVERTERS LIMITED)</v>
          </cell>
          <cell r="C507" t="str">
            <v>Exercise book</v>
          </cell>
          <cell r="D507" t="str">
            <v>A-4(200 pages)</v>
          </cell>
          <cell r="E507" t="str">
            <v>piece</v>
          </cell>
          <cell r="F507" t="str">
            <v>Shillings</v>
          </cell>
          <cell r="G507"/>
        </row>
        <row r="508">
          <cell r="A508">
            <v>1701</v>
          </cell>
          <cell r="B508" t="str">
            <v>Crown Papers (E.A) Limited (CROWN CONVERTERS LIMITED)</v>
          </cell>
          <cell r="C508" t="str">
            <v>counter Books</v>
          </cell>
          <cell r="D508" t="str">
            <v>Butterfly 2-quire</v>
          </cell>
          <cell r="E508" t="str">
            <v>piece</v>
          </cell>
          <cell r="F508" t="str">
            <v>Shillings</v>
          </cell>
          <cell r="G508"/>
        </row>
        <row r="509">
          <cell r="G509"/>
        </row>
        <row r="510">
          <cell r="A510" t="str">
            <v>1702</v>
          </cell>
          <cell r="B510" t="str">
            <v xml:space="preserve"> Manufacture of corrugated paper and paperboard and of containers of paper and paper board</v>
          </cell>
          <cell r="F510" t="str">
            <v>Index</v>
          </cell>
          <cell r="G510">
            <v>6.0093794149194499</v>
          </cell>
        </row>
        <row r="511">
          <cell r="B511" t="str">
            <v xml:space="preserve"> Manufacture of corrugated paper and paperboard and of containers of paper and paper board</v>
          </cell>
          <cell r="F511" t="str">
            <v>Geomean</v>
          </cell>
          <cell r="G511"/>
        </row>
        <row r="512">
          <cell r="A512">
            <v>1702</v>
          </cell>
          <cell r="B512" t="str">
            <v>EAST AFRICAN PACKAGING SOLUTIONS LIMITED (Mulbox)</v>
          </cell>
          <cell r="C512" t="str">
            <v>Kraft Paper</v>
          </cell>
          <cell r="D512" t="str">
            <v>PAPER BOXES FOR PACKAGING</v>
          </cell>
          <cell r="E512" t="str">
            <v>Tonne</v>
          </cell>
          <cell r="F512" t="str">
            <v>Shillings</v>
          </cell>
          <cell r="G512"/>
        </row>
        <row r="513">
          <cell r="A513">
            <v>1702</v>
          </cell>
          <cell r="B513" t="str">
            <v>CRANE PAPER BAGS LIMITED</v>
          </cell>
          <cell r="C513" t="str">
            <v>Baler Bag (30 kg flour bags)</v>
          </cell>
          <cell r="D513" t="str">
            <v>30 kg flour bags</v>
          </cell>
          <cell r="E513" t="str">
            <v>Bundle of 30 kg flour bags</v>
          </cell>
          <cell r="F513" t="str">
            <v>Shillings</v>
          </cell>
          <cell r="G513"/>
        </row>
        <row r="514">
          <cell r="A514">
            <v>1702</v>
          </cell>
          <cell r="B514" t="str">
            <v>CRANE PAPER BAGS LIMITED</v>
          </cell>
          <cell r="C514" t="str">
            <v>BALER BAGS(24kg flour bags)</v>
          </cell>
          <cell r="D514" t="str">
            <v>24kg flour bags</v>
          </cell>
          <cell r="E514" t="str">
            <v>Bundle of 24kg flour bags</v>
          </cell>
          <cell r="F514" t="str">
            <v>Shillings</v>
          </cell>
          <cell r="G514"/>
        </row>
        <row r="515">
          <cell r="A515">
            <v>1702</v>
          </cell>
          <cell r="B515" t="str">
            <v>CRANE PAPER BAGS LIMITED</v>
          </cell>
          <cell r="C515" t="str">
            <v>Grocery Bags (Paper Bags of Size 14)</v>
          </cell>
          <cell r="D515" t="str">
            <v>Paper Bags (Size 14)</v>
          </cell>
          <cell r="E515" t="str">
            <v>bundle of Paper Bags of Size 14</v>
          </cell>
          <cell r="F515" t="str">
            <v>Shillings</v>
          </cell>
          <cell r="G515"/>
        </row>
        <row r="516">
          <cell r="A516">
            <v>1702</v>
          </cell>
          <cell r="B516" t="str">
            <v>CRANE PAPER BAGS LIMITED</v>
          </cell>
          <cell r="C516" t="str">
            <v>Grocery Bags (Paper Bags Size 16)</v>
          </cell>
          <cell r="D516" t="str">
            <v>Paper Bags (Size 16)</v>
          </cell>
          <cell r="E516" t="str">
            <v>bundle of Paper Bags of Size 16</v>
          </cell>
          <cell r="F516" t="str">
            <v>Shillings</v>
          </cell>
          <cell r="G516"/>
        </row>
        <row r="517">
          <cell r="A517">
            <v>1702</v>
          </cell>
          <cell r="B517" t="str">
            <v>CRANE PAPER BAGS LIMITED</v>
          </cell>
          <cell r="C517" t="str">
            <v>Grocery Bags ( Paper Bags Size 2)</v>
          </cell>
          <cell r="D517" t="str">
            <v>Paper Bags (Size 2)</v>
          </cell>
          <cell r="E517" t="str">
            <v>bundle of Paper Bags of Size 2</v>
          </cell>
          <cell r="F517" t="str">
            <v>Shillings</v>
          </cell>
          <cell r="G517"/>
        </row>
        <row r="518">
          <cell r="A518">
            <v>1702</v>
          </cell>
          <cell r="B518" t="str">
            <v>CRANE PAPER BAGS LIMITED</v>
          </cell>
          <cell r="C518" t="str">
            <v>Grocery Bags (Paper Bags Size 5)</v>
          </cell>
          <cell r="D518" t="str">
            <v>Paper Bags (Size 5)</v>
          </cell>
          <cell r="E518" t="str">
            <v>bundle of Paper Bags of Size 5</v>
          </cell>
          <cell r="F518" t="str">
            <v>Shillings</v>
          </cell>
          <cell r="G518"/>
        </row>
        <row r="519">
          <cell r="A519">
            <v>1702</v>
          </cell>
          <cell r="B519" t="str">
            <v>KEN GROUP INDUSTRIES</v>
          </cell>
          <cell r="C519" t="str">
            <v>Box Files</v>
          </cell>
          <cell r="D519" t="str">
            <v>Lever Arch AD21</v>
          </cell>
          <cell r="E519" t="str">
            <v>piece</v>
          </cell>
          <cell r="F519" t="str">
            <v>Shillings</v>
          </cell>
          <cell r="G519"/>
        </row>
        <row r="520">
          <cell r="A520"/>
          <cell r="B520"/>
          <cell r="C520"/>
          <cell r="D520"/>
          <cell r="E520"/>
          <cell r="F520"/>
          <cell r="G520"/>
        </row>
        <row r="521">
          <cell r="A521" t="str">
            <v>1709</v>
          </cell>
          <cell r="B521" t="str">
            <v xml:space="preserve"> Manufacture of other articles of paper and paperboard</v>
          </cell>
          <cell r="F521" t="str">
            <v>Index</v>
          </cell>
          <cell r="G521">
            <v>6.2217942770463699</v>
          </cell>
        </row>
        <row r="522">
          <cell r="B522" t="str">
            <v xml:space="preserve"> Manufacture of other articles of paper and paperboard</v>
          </cell>
          <cell r="F522" t="str">
            <v>Geomean</v>
          </cell>
          <cell r="G522"/>
        </row>
        <row r="523">
          <cell r="A523">
            <v>1709</v>
          </cell>
          <cell r="B523" t="str">
            <v>GLOBAL PAPER PRODUCTS LTD</v>
          </cell>
          <cell r="C523" t="str">
            <v>TOILET PAPER LUXURY (1*40)</v>
          </cell>
          <cell r="D523" t="str">
            <v>TOILET PAPER LUXURY (1*40)</v>
          </cell>
          <cell r="E523" t="str">
            <v>A carton of 40 pieces</v>
          </cell>
          <cell r="F523" t="str">
            <v>Shillings</v>
          </cell>
          <cell r="G523"/>
        </row>
        <row r="524">
          <cell r="A524">
            <v>1709</v>
          </cell>
          <cell r="B524" t="str">
            <v>GLOBAL PAPER PRODUCTS LTD</v>
          </cell>
          <cell r="C524" t="str">
            <v>TOILET PAPER LUXURY (1*24)</v>
          </cell>
          <cell r="D524" t="str">
            <v>TOILET PAPER LUXURY (1*24)</v>
          </cell>
          <cell r="E524" t="str">
            <v>A carton of 24 pieces</v>
          </cell>
          <cell r="F524" t="str">
            <v>Shillings</v>
          </cell>
          <cell r="G524"/>
        </row>
        <row r="525">
          <cell r="A525">
            <v>1709</v>
          </cell>
          <cell r="B525" t="str">
            <v>GLOBAL PAPER PRODUCTS LTD</v>
          </cell>
          <cell r="C525" t="str">
            <v>TOILET PAPER LUXURY (10*10)</v>
          </cell>
          <cell r="D525" t="str">
            <v>TOILET PAPER LUXURY (10*10)</v>
          </cell>
          <cell r="E525" t="str">
            <v>A carton of 10 pieces</v>
          </cell>
          <cell r="F525" t="str">
            <v>Shillings</v>
          </cell>
          <cell r="G525"/>
        </row>
        <row r="526">
          <cell r="A526">
            <v>1709</v>
          </cell>
          <cell r="B526" t="str">
            <v>GLOBAL PAPER PRODUCTS LTD</v>
          </cell>
          <cell r="C526" t="str">
            <v>TOILET PAPER SOFT &amp; CLEAN</v>
          </cell>
          <cell r="D526" t="str">
            <v>TOILET PAPER SOFT &amp; CLEAN</v>
          </cell>
          <cell r="E526" t="str">
            <v>A carton of 100 pieces</v>
          </cell>
          <cell r="F526" t="str">
            <v>Shillings</v>
          </cell>
          <cell r="G526"/>
        </row>
        <row r="527">
          <cell r="A527">
            <v>1709</v>
          </cell>
          <cell r="B527" t="str">
            <v>AFRI-PADS UGANDA LTD.</v>
          </cell>
          <cell r="C527" t="str">
            <v>Afri pads reusable sanitary pads</v>
          </cell>
          <cell r="D527" t="str">
            <v>Standard 4 pack</v>
          </cell>
          <cell r="E527" t="str">
            <v>per piece</v>
          </cell>
          <cell r="F527" t="str">
            <v>Shillings</v>
          </cell>
          <cell r="G527"/>
        </row>
        <row r="528">
          <cell r="A528">
            <v>1709</v>
          </cell>
          <cell r="B528" t="str">
            <v>AFRI-PADS UGANDA LTD.</v>
          </cell>
          <cell r="C528" t="str">
            <v>So sure reusable pads</v>
          </cell>
          <cell r="D528" t="str">
            <v>So sure reusable pads</v>
          </cell>
          <cell r="E528" t="str">
            <v>per piece</v>
          </cell>
          <cell r="F528" t="str">
            <v>Shillings</v>
          </cell>
          <cell r="G528"/>
        </row>
        <row r="529">
          <cell r="A529">
            <v>1709</v>
          </cell>
          <cell r="B529" t="str">
            <v>SUPERFINE INDUSTRIES LIMITED</v>
          </cell>
          <cell r="C529" t="str">
            <v>Toilet papers</v>
          </cell>
          <cell r="D529" t="str">
            <v>Jumbo- small size</v>
          </cell>
          <cell r="E529" t="str">
            <v>A carton of 40 pieces</v>
          </cell>
          <cell r="F529" t="str">
            <v>Shillings</v>
          </cell>
          <cell r="G529"/>
        </row>
        <row r="530">
          <cell r="A530">
            <v>1709</v>
          </cell>
          <cell r="B530" t="str">
            <v>SUPERFINE INDUSTRIES LIMITED</v>
          </cell>
          <cell r="C530" t="str">
            <v>Toilet papers</v>
          </cell>
          <cell r="D530" t="str">
            <v>Jumbo- big size</v>
          </cell>
          <cell r="E530" t="str">
            <v>A carton of 100 pieces</v>
          </cell>
          <cell r="F530" t="str">
            <v>Shillings</v>
          </cell>
          <cell r="G530"/>
        </row>
        <row r="531">
          <cell r="A531">
            <v>1709</v>
          </cell>
          <cell r="B531" t="str">
            <v>SUPERFINE INDUSTRIES LIMITED</v>
          </cell>
          <cell r="C531" t="str">
            <v>Kitchen towels</v>
          </cell>
          <cell r="D531" t="str">
            <v>Big size</v>
          </cell>
          <cell r="E531" t="str">
            <v>per piece</v>
          </cell>
          <cell r="F531" t="str">
            <v>Shillings</v>
          </cell>
          <cell r="G531"/>
        </row>
        <row r="532">
          <cell r="A532">
            <v>1709</v>
          </cell>
          <cell r="B532" t="str">
            <v>SUPERFINE INDUSTRIES LIMITED</v>
          </cell>
          <cell r="C532" t="str">
            <v>Kitchen towels</v>
          </cell>
          <cell r="D532" t="str">
            <v>Small size</v>
          </cell>
          <cell r="E532" t="str">
            <v>A carton of 20 pieces</v>
          </cell>
          <cell r="F532" t="str">
            <v>Shillings</v>
          </cell>
          <cell r="G532"/>
        </row>
        <row r="533">
          <cell r="A533">
            <v>1709</v>
          </cell>
          <cell r="B533" t="str">
            <v>SUPERFINE INDUSTRIES LIMITED</v>
          </cell>
          <cell r="C533" t="str">
            <v>Saviets</v>
          </cell>
          <cell r="D533" t="str">
            <v>Standard</v>
          </cell>
          <cell r="E533" t="str">
            <v>A box of 60 packets</v>
          </cell>
          <cell r="F533" t="str">
            <v>Shillings</v>
          </cell>
          <cell r="G533"/>
        </row>
        <row r="534">
          <cell r="A534">
            <v>1709</v>
          </cell>
          <cell r="B534" t="str">
            <v>UGANDA PULP AND PAPER MILLS</v>
          </cell>
          <cell r="C534" t="str">
            <v>Toilet tissue</v>
          </cell>
          <cell r="D534" t="str">
            <v>Toilet tissue</v>
          </cell>
          <cell r="E534" t="str">
            <v>per carton</v>
          </cell>
          <cell r="F534" t="str">
            <v>Shillings</v>
          </cell>
          <cell r="G534"/>
        </row>
        <row r="535">
          <cell r="A535"/>
          <cell r="B535"/>
          <cell r="C535"/>
          <cell r="D535"/>
          <cell r="E535"/>
          <cell r="F535"/>
          <cell r="G535"/>
        </row>
        <row r="536">
          <cell r="B536" t="str">
            <v>PRINTING AND REPRODUCTION OF RECORDED MEDIA</v>
          </cell>
        </row>
        <row r="537">
          <cell r="B537" t="str">
            <v>Printing and service activities related to printing</v>
          </cell>
          <cell r="G537"/>
        </row>
        <row r="538">
          <cell r="A538" t="str">
            <v>1811</v>
          </cell>
          <cell r="B538" t="str">
            <v xml:space="preserve"> Printing</v>
          </cell>
          <cell r="F538" t="str">
            <v>Index</v>
          </cell>
          <cell r="G538">
            <v>12.4497277597767</v>
          </cell>
        </row>
        <row r="539">
          <cell r="B539" t="str">
            <v xml:space="preserve"> Printing</v>
          </cell>
          <cell r="F539" t="str">
            <v>Geomean</v>
          </cell>
          <cell r="G539"/>
        </row>
        <row r="540">
          <cell r="A540">
            <v>1811</v>
          </cell>
          <cell r="B540" t="str">
            <v>UGANDA PRINTING and PUBLISHING CORPORATION</v>
          </cell>
          <cell r="C540" t="str">
            <v>Cash Book</v>
          </cell>
          <cell r="D540" t="str">
            <v>Small Cash Book</v>
          </cell>
          <cell r="E540" t="str">
            <v>Ream</v>
          </cell>
          <cell r="F540" t="str">
            <v>Shillings</v>
          </cell>
          <cell r="G540"/>
        </row>
        <row r="541">
          <cell r="A541">
            <v>1811</v>
          </cell>
          <cell r="B541" t="str">
            <v>UGANDA PRINTING and PUBLISHING CORPORATION</v>
          </cell>
          <cell r="C541" t="str">
            <v>Counter book</v>
          </cell>
          <cell r="D541" t="str">
            <v>Big Counter book</v>
          </cell>
          <cell r="E541" t="str">
            <v>Ream</v>
          </cell>
          <cell r="F541" t="str">
            <v>Shillings</v>
          </cell>
          <cell r="G541"/>
        </row>
        <row r="542">
          <cell r="A542">
            <v>1811</v>
          </cell>
          <cell r="B542" t="str">
            <v>UGANDA PRINTING and PUBLISHING CORPORATION</v>
          </cell>
          <cell r="C542" t="str">
            <v>Counter book (medium) Note book</v>
          </cell>
          <cell r="D542" t="str">
            <v>Counter book (medium) Note book</v>
          </cell>
          <cell r="E542" t="str">
            <v>Ream</v>
          </cell>
          <cell r="F542" t="str">
            <v>Shillings</v>
          </cell>
          <cell r="G542"/>
        </row>
        <row r="543">
          <cell r="A543">
            <v>1811</v>
          </cell>
          <cell r="B543" t="str">
            <v>UGANDA PRINTING and PUBLISHING CORPORATION</v>
          </cell>
          <cell r="C543" t="str">
            <v>Counter book (small) Note book</v>
          </cell>
          <cell r="D543" t="str">
            <v>Counter book (small) Note book</v>
          </cell>
          <cell r="E543" t="str">
            <v>Ream</v>
          </cell>
          <cell r="F543" t="str">
            <v>Shillings</v>
          </cell>
          <cell r="G543"/>
        </row>
        <row r="544">
          <cell r="A544">
            <v>1811</v>
          </cell>
          <cell r="B544" t="str">
            <v>UGANDA PRINTING and PUBLISHING CORPORATION</v>
          </cell>
          <cell r="C544" t="str">
            <v>Treasury Form 34 A</v>
          </cell>
          <cell r="D544" t="str">
            <v>Standard</v>
          </cell>
          <cell r="E544" t="str">
            <v>Ream</v>
          </cell>
          <cell r="F544" t="str">
            <v>Shillings</v>
          </cell>
          <cell r="G544"/>
        </row>
        <row r="545">
          <cell r="A545">
            <v>1811</v>
          </cell>
          <cell r="B545" t="str">
            <v>DIGIPRINT SYSTEM UGANDA LTD</v>
          </cell>
          <cell r="C545" t="str">
            <v>Printed stationery</v>
          </cell>
          <cell r="D545" t="str">
            <v>Books A2 (Customised)</v>
          </cell>
          <cell r="E545" t="str">
            <v>per piece</v>
          </cell>
          <cell r="F545" t="str">
            <v>Shillings</v>
          </cell>
          <cell r="G545"/>
        </row>
        <row r="546">
          <cell r="A546">
            <v>1811</v>
          </cell>
          <cell r="B546" t="str">
            <v>DIGIPRINT SYSTEM UGANDA LTD</v>
          </cell>
          <cell r="C546" t="str">
            <v>Printed stationery</v>
          </cell>
          <cell r="D546" t="str">
            <v>Books A3 (Customised)</v>
          </cell>
          <cell r="E546" t="str">
            <v>per piece</v>
          </cell>
          <cell r="F546" t="str">
            <v>Shillings</v>
          </cell>
          <cell r="G546"/>
        </row>
        <row r="547">
          <cell r="A547">
            <v>1811</v>
          </cell>
          <cell r="B547" t="str">
            <v>DIGIPRINT SYSTEM UGANDA LTD</v>
          </cell>
          <cell r="C547" t="str">
            <v>Branded items</v>
          </cell>
          <cell r="D547" t="str">
            <v>Clothing</v>
          </cell>
          <cell r="E547" t="str">
            <v>per piece</v>
          </cell>
          <cell r="F547" t="str">
            <v>Shillings</v>
          </cell>
          <cell r="G547"/>
        </row>
        <row r="548">
          <cell r="A548">
            <v>1811</v>
          </cell>
          <cell r="B548" t="str">
            <v>DIGIPRINT SYSTEM UGANDA LTD</v>
          </cell>
          <cell r="C548" t="str">
            <v>Branded items</v>
          </cell>
          <cell r="D548" t="str">
            <v>Calendars</v>
          </cell>
          <cell r="E548" t="str">
            <v>per piece</v>
          </cell>
          <cell r="F548" t="str">
            <v>Shillings</v>
          </cell>
          <cell r="G548"/>
        </row>
        <row r="549">
          <cell r="A549">
            <v>1811</v>
          </cell>
          <cell r="B549" t="str">
            <v>DIGIPRINT SYSTEM UGANDA LTD</v>
          </cell>
          <cell r="C549" t="str">
            <v>Branded items</v>
          </cell>
          <cell r="D549" t="str">
            <v>Business cards</v>
          </cell>
          <cell r="E549" t="str">
            <v>10 pieces</v>
          </cell>
          <cell r="F549" t="str">
            <v>Shillings</v>
          </cell>
          <cell r="G549"/>
        </row>
        <row r="550">
          <cell r="A550">
            <v>1811</v>
          </cell>
          <cell r="B550" t="str">
            <v>THE OBSERVER</v>
          </cell>
          <cell r="C550" t="str">
            <v>weekly newspaper</v>
          </cell>
          <cell r="D550" t="str">
            <v>weekly newspaper</v>
          </cell>
          <cell r="E550" t="str">
            <v>A COPY</v>
          </cell>
          <cell r="F550" t="str">
            <v>Shillings</v>
          </cell>
          <cell r="G550"/>
        </row>
        <row r="551">
          <cell r="A551">
            <v>1811</v>
          </cell>
          <cell r="B551" t="str">
            <v>THE NEWVISION PRINTING AND PUBLICATION CORPORATION</v>
          </cell>
          <cell r="C551" t="str">
            <v>Printing</v>
          </cell>
          <cell r="D551" t="str">
            <v>Daily vision</v>
          </cell>
          <cell r="E551" t="str">
            <v>Copy</v>
          </cell>
          <cell r="F551" t="str">
            <v>Shillings</v>
          </cell>
          <cell r="G551"/>
        </row>
        <row r="552">
          <cell r="A552">
            <v>1811</v>
          </cell>
          <cell r="B552" t="str">
            <v>THE NEWVISION PRINTING AND PUBLICATION CORPORATION</v>
          </cell>
          <cell r="C552" t="str">
            <v>Printing</v>
          </cell>
          <cell r="D552" t="str">
            <v>Bukedde Newspaper</v>
          </cell>
          <cell r="E552" t="str">
            <v>copy</v>
          </cell>
          <cell r="F552" t="str">
            <v>Shillings</v>
          </cell>
          <cell r="G552"/>
        </row>
        <row r="553">
          <cell r="A553">
            <v>1811</v>
          </cell>
          <cell r="B553" t="str">
            <v>THE NEWVISION PRINTING AND PUBLICATION CORPORATION</v>
          </cell>
          <cell r="C553" t="str">
            <v>Printing</v>
          </cell>
          <cell r="D553" t="str">
            <v>Saturday Vision</v>
          </cell>
          <cell r="E553" t="str">
            <v>copy</v>
          </cell>
          <cell r="F553" t="str">
            <v>Shillings</v>
          </cell>
          <cell r="G553"/>
        </row>
        <row r="554">
          <cell r="A554">
            <v>1811</v>
          </cell>
          <cell r="B554" t="str">
            <v>MONAD GENERAL SUPPLIES AND SERVICES LIMITED</v>
          </cell>
          <cell r="C554" t="str">
            <v>Exams - Black And White</v>
          </cell>
          <cell r="D554" t="str">
            <v>Black and White</v>
          </cell>
          <cell r="E554" t="str">
            <v>piece</v>
          </cell>
          <cell r="F554" t="str">
            <v>Shillings</v>
          </cell>
          <cell r="G554"/>
        </row>
        <row r="555">
          <cell r="A555">
            <v>1811</v>
          </cell>
          <cell r="B555" t="str">
            <v>MONAD GENERAL SUPPLIES AND SERVICES LIMITED</v>
          </cell>
          <cell r="C555" t="str">
            <v>Exams/Coloured</v>
          </cell>
          <cell r="D555" t="str">
            <v>Exams/Coloured</v>
          </cell>
          <cell r="E555" t="str">
            <v>piece</v>
          </cell>
          <cell r="F555" t="str">
            <v>Shillings</v>
          </cell>
          <cell r="G555"/>
        </row>
        <row r="556">
          <cell r="A556">
            <v>1811</v>
          </cell>
          <cell r="B556" t="str">
            <v>MONAD GENERAL SUPPLIES AND SERVICES LIMITED</v>
          </cell>
          <cell r="C556" t="str">
            <v>Booklets</v>
          </cell>
          <cell r="D556" t="str">
            <v>TEXT BOOKS</v>
          </cell>
          <cell r="E556" t="str">
            <v>PIECE</v>
          </cell>
          <cell r="F556" t="str">
            <v>Shillings</v>
          </cell>
          <cell r="G556"/>
        </row>
        <row r="557">
          <cell r="A557">
            <v>1811</v>
          </cell>
          <cell r="B557" t="str">
            <v>MONAD GENERAL SUPPLIES AND SERVICES LIMITED</v>
          </cell>
          <cell r="C557" t="str">
            <v>Calendars</v>
          </cell>
          <cell r="D557" t="str">
            <v>FULL COLOUR</v>
          </cell>
          <cell r="E557" t="str">
            <v>PIECE</v>
          </cell>
          <cell r="F557" t="str">
            <v>Shillings</v>
          </cell>
          <cell r="G557"/>
        </row>
        <row r="558">
          <cell r="A558">
            <v>1811</v>
          </cell>
          <cell r="B558" t="str">
            <v>UGANDA ASSOCIATE STATIONERS</v>
          </cell>
          <cell r="C558" t="str">
            <v>Register Book</v>
          </cell>
          <cell r="D558" t="str">
            <v>A2 200 pages-hardcopy</v>
          </cell>
          <cell r="E558" t="str">
            <v>PIECE</v>
          </cell>
          <cell r="F558" t="str">
            <v>Shillings</v>
          </cell>
          <cell r="G558"/>
        </row>
        <row r="559">
          <cell r="A559">
            <v>1811</v>
          </cell>
          <cell r="B559" t="str">
            <v>UGANDA ASSOCIATE STATIONERS (UAS)</v>
          </cell>
          <cell r="C559" t="str">
            <v>LOCK UP REGISTER BOOK</v>
          </cell>
          <cell r="D559" t="str">
            <v>A3 200 pages hardcopy</v>
          </cell>
          <cell r="E559" t="str">
            <v>PIECE</v>
          </cell>
          <cell r="F559" t="str">
            <v>Shillings</v>
          </cell>
          <cell r="G559"/>
        </row>
        <row r="560">
          <cell r="A560">
            <v>1811</v>
          </cell>
          <cell r="B560" t="str">
            <v>UGANDA ASSOCIATE STATIONERS</v>
          </cell>
          <cell r="C560" t="str">
            <v>Table Calender</v>
          </cell>
          <cell r="D560" t="str">
            <v>12 months</v>
          </cell>
          <cell r="E560" t="str">
            <v>PIECE</v>
          </cell>
          <cell r="F560" t="str">
            <v>Shillings</v>
          </cell>
          <cell r="G560"/>
        </row>
        <row r="561">
          <cell r="A561">
            <v>1811</v>
          </cell>
          <cell r="B561" t="str">
            <v>UGANDA ASSOCIATE STATIONERS</v>
          </cell>
          <cell r="C561" t="str">
            <v>General Identity Card</v>
          </cell>
          <cell r="D561" t="str">
            <v>Black and White pocket size</v>
          </cell>
          <cell r="E561" t="str">
            <v>PIECE</v>
          </cell>
          <cell r="F561" t="str">
            <v>Shillings</v>
          </cell>
          <cell r="G561"/>
        </row>
        <row r="562">
          <cell r="A562">
            <v>1811</v>
          </cell>
          <cell r="B562" t="str">
            <v>MK PUBLISHERS LTD</v>
          </cell>
          <cell r="C562" t="str">
            <v>printing</v>
          </cell>
          <cell r="D562" t="str">
            <v>Math book_5</v>
          </cell>
          <cell r="E562" t="str">
            <v>PIECE</v>
          </cell>
          <cell r="F562" t="str">
            <v>Shillings</v>
          </cell>
          <cell r="G562"/>
        </row>
        <row r="563">
          <cell r="A563">
            <v>1811</v>
          </cell>
          <cell r="B563" t="str">
            <v>MK PUBLISHERS LTD</v>
          </cell>
          <cell r="C563" t="str">
            <v>printing</v>
          </cell>
          <cell r="D563" t="str">
            <v>Social studies book 5</v>
          </cell>
          <cell r="E563" t="str">
            <v>per book</v>
          </cell>
          <cell r="F563" t="str">
            <v>Shillings</v>
          </cell>
          <cell r="G563"/>
        </row>
        <row r="564">
          <cell r="A564">
            <v>1811</v>
          </cell>
          <cell r="B564" t="str">
            <v>MK PUBLISHERS LTD</v>
          </cell>
          <cell r="C564" t="str">
            <v>printing</v>
          </cell>
          <cell r="D564" t="str">
            <v>O-level physics</v>
          </cell>
          <cell r="E564" t="str">
            <v>per book</v>
          </cell>
          <cell r="F564" t="str">
            <v>Shillings</v>
          </cell>
          <cell r="G564"/>
        </row>
        <row r="565">
          <cell r="A565">
            <v>1811</v>
          </cell>
          <cell r="B565" t="str">
            <v>MK PUBLISHERS LTD</v>
          </cell>
          <cell r="C565" t="str">
            <v>printing</v>
          </cell>
          <cell r="D565" t="str">
            <v>Science</v>
          </cell>
          <cell r="E565" t="str">
            <v>per book</v>
          </cell>
          <cell r="F565" t="str">
            <v>Shillings</v>
          </cell>
          <cell r="G565"/>
        </row>
        <row r="566">
          <cell r="A566">
            <v>1811</v>
          </cell>
          <cell r="B566" t="str">
            <v>MARIANUM PRESS LTD</v>
          </cell>
          <cell r="C566" t="str">
            <v>EKITABO KYOMUKRISTU</v>
          </cell>
          <cell r="D566" t="str">
            <v>Prayer book</v>
          </cell>
          <cell r="E566" t="str">
            <v>piece</v>
          </cell>
          <cell r="F566" t="str">
            <v>Shillings</v>
          </cell>
          <cell r="G566"/>
        </row>
        <row r="567">
          <cell r="A567">
            <v>1811</v>
          </cell>
          <cell r="B567" t="str">
            <v>REAL CONCEPTS LIMITED</v>
          </cell>
          <cell r="C567" t="str">
            <v>Printing</v>
          </cell>
          <cell r="D567" t="str">
            <v>Calendars</v>
          </cell>
          <cell r="E567" t="str">
            <v>per piece</v>
          </cell>
          <cell r="F567" t="str">
            <v>Shillings</v>
          </cell>
          <cell r="G567"/>
        </row>
        <row r="568">
          <cell r="A568">
            <v>1811</v>
          </cell>
          <cell r="B568" t="str">
            <v>REAL CONCEPTS LIMITED</v>
          </cell>
          <cell r="C568" t="str">
            <v>Printing</v>
          </cell>
          <cell r="D568" t="str">
            <v>Diaries</v>
          </cell>
          <cell r="E568" t="str">
            <v>per piece B5</v>
          </cell>
          <cell r="F568" t="str">
            <v>Shillings</v>
          </cell>
          <cell r="G568"/>
        </row>
        <row r="569">
          <cell r="A569">
            <v>1811</v>
          </cell>
          <cell r="B569" t="str">
            <v>REAL CONCEPTS LIMITED</v>
          </cell>
          <cell r="C569" t="str">
            <v>Printing</v>
          </cell>
          <cell r="D569" t="str">
            <v>Annual Reports</v>
          </cell>
          <cell r="E569" t="str">
            <v>per unit</v>
          </cell>
          <cell r="F569" t="str">
            <v>Shillings</v>
          </cell>
          <cell r="G569"/>
        </row>
        <row r="570">
          <cell r="A570">
            <v>1811</v>
          </cell>
          <cell r="B570" t="str">
            <v>REAL CONCEPTS LIMITED</v>
          </cell>
          <cell r="C570" t="str">
            <v>Branding</v>
          </cell>
          <cell r="D570" t="str">
            <v>Promotional items e.g umbrellas, cups,etc</v>
          </cell>
          <cell r="E570" t="str">
            <v>per unit</v>
          </cell>
          <cell r="F570" t="str">
            <v>Shillings</v>
          </cell>
          <cell r="G570"/>
        </row>
        <row r="571">
          <cell r="A571">
            <v>1811</v>
          </cell>
          <cell r="B571" t="str">
            <v>IKOROM UGANDA LIMITED</v>
          </cell>
          <cell r="C571" t="str">
            <v>Printing</v>
          </cell>
          <cell r="D571" t="str">
            <v>Books</v>
          </cell>
          <cell r="E571" t="str">
            <v>per piece</v>
          </cell>
          <cell r="F571" t="str">
            <v>Shillings</v>
          </cell>
          <cell r="G571"/>
        </row>
        <row r="572">
          <cell r="A572">
            <v>1811</v>
          </cell>
          <cell r="B572" t="str">
            <v>IKOROM UGANDA LIMITED</v>
          </cell>
          <cell r="C572" t="str">
            <v>Printing</v>
          </cell>
          <cell r="D572" t="str">
            <v>Magazines</v>
          </cell>
          <cell r="E572" t="str">
            <v>per piece</v>
          </cell>
          <cell r="F572" t="str">
            <v>Shillings</v>
          </cell>
          <cell r="G572"/>
        </row>
        <row r="573">
          <cell r="A573">
            <v>1811</v>
          </cell>
          <cell r="B573" t="str">
            <v>IKOROM UGANDA LIMITED</v>
          </cell>
          <cell r="C573" t="str">
            <v>Printing</v>
          </cell>
          <cell r="D573" t="str">
            <v>Flyers</v>
          </cell>
          <cell r="E573" t="str">
            <v>per piece</v>
          </cell>
          <cell r="F573" t="str">
            <v>Shillings</v>
          </cell>
          <cell r="G573"/>
        </row>
        <row r="574">
          <cell r="A574">
            <v>1811</v>
          </cell>
          <cell r="B574" t="str">
            <v>PARADIGM IMAGING (U) LIMITED</v>
          </cell>
          <cell r="C574" t="str">
            <v>PRINTING SERVICES</v>
          </cell>
          <cell r="D574" t="str">
            <v>A4</v>
          </cell>
          <cell r="E574" t="str">
            <v>PER SHEET</v>
          </cell>
          <cell r="F574" t="str">
            <v>Shillings</v>
          </cell>
          <cell r="G574"/>
        </row>
        <row r="575">
          <cell r="A575">
            <v>1811</v>
          </cell>
          <cell r="B575" t="str">
            <v>PARADIGM IMAGING (U) LIMITED</v>
          </cell>
          <cell r="C575" t="str">
            <v>PRINTING SERVICES</v>
          </cell>
          <cell r="D575" t="str">
            <v>A3</v>
          </cell>
          <cell r="E575" t="str">
            <v>PER SHEET</v>
          </cell>
          <cell r="F575" t="str">
            <v>Shillings</v>
          </cell>
          <cell r="G575"/>
        </row>
        <row r="576">
          <cell r="A576">
            <v>1811</v>
          </cell>
          <cell r="B576" t="str">
            <v>MATRIX  AGENCIES LIMITED</v>
          </cell>
          <cell r="C576" t="str">
            <v>Stationery</v>
          </cell>
          <cell r="D576" t="str">
            <v>Papers</v>
          </cell>
          <cell r="E576" t="str">
            <v>Rotatrim 1 unit</v>
          </cell>
          <cell r="F576" t="str">
            <v>Shillings</v>
          </cell>
          <cell r="G576"/>
        </row>
        <row r="577">
          <cell r="A577">
            <v>1811</v>
          </cell>
          <cell r="B577" t="str">
            <v>MATRIX  AGENCIES LIMITED</v>
          </cell>
          <cell r="C577" t="str">
            <v>Stationery</v>
          </cell>
          <cell r="D577" t="str">
            <v>Envelopes</v>
          </cell>
          <cell r="E577" t="str">
            <v>A4 9*4</v>
          </cell>
          <cell r="F577" t="str">
            <v>Shillings</v>
          </cell>
          <cell r="G577"/>
        </row>
        <row r="578">
          <cell r="A578">
            <v>1811</v>
          </cell>
          <cell r="B578" t="str">
            <v>MATRIX  AGENCIES LIMITED</v>
          </cell>
          <cell r="C578" t="str">
            <v>Stationery</v>
          </cell>
          <cell r="D578" t="str">
            <v>Books</v>
          </cell>
          <cell r="E578" t="str">
            <v xml:space="preserve">1 Counter book </v>
          </cell>
          <cell r="F578" t="str">
            <v>Shillings</v>
          </cell>
          <cell r="G578"/>
        </row>
        <row r="579">
          <cell r="A579">
            <v>1811</v>
          </cell>
          <cell r="B579" t="str">
            <v>MATRIX  AGENCIES LIMITED</v>
          </cell>
          <cell r="C579" t="str">
            <v>Stationery</v>
          </cell>
          <cell r="D579" t="str">
            <v>Tonners</v>
          </cell>
          <cell r="E579" t="str">
            <v>HP tonners</v>
          </cell>
          <cell r="F579" t="str">
            <v>Shillings</v>
          </cell>
          <cell r="G579"/>
        </row>
        <row r="580">
          <cell r="A580">
            <v>1811</v>
          </cell>
          <cell r="B580" t="str">
            <v>MARIANUM PRESS LTD</v>
          </cell>
          <cell r="C580" t="str">
            <v>Mugye Tutendereze</v>
          </cell>
          <cell r="D580" t="str">
            <v>Hymn book</v>
          </cell>
          <cell r="E580" t="str">
            <v>piece</v>
          </cell>
          <cell r="F580" t="str">
            <v>Shillings</v>
          </cell>
          <cell r="G580"/>
        </row>
        <row r="581">
          <cell r="A581">
            <v>1811</v>
          </cell>
          <cell r="B581" t="str">
            <v>MARIANUM PRESS LTD</v>
          </cell>
          <cell r="C581" t="str">
            <v>Counter book</v>
          </cell>
          <cell r="D581" t="str">
            <v>writing book 3 quire</v>
          </cell>
          <cell r="E581" t="str">
            <v>piece</v>
          </cell>
          <cell r="F581" t="str">
            <v>Shillings</v>
          </cell>
          <cell r="G581"/>
        </row>
        <row r="582">
          <cell r="A582">
            <v>1811</v>
          </cell>
          <cell r="B582" t="str">
            <v>MARIANUM PRESS LTD</v>
          </cell>
          <cell r="C582" t="str">
            <v>Catholic newspaper</v>
          </cell>
          <cell r="D582" t="str">
            <v>newspaper</v>
          </cell>
          <cell r="E582" t="str">
            <v>piece</v>
          </cell>
          <cell r="F582" t="str">
            <v>Shillings</v>
          </cell>
          <cell r="G582"/>
        </row>
        <row r="583">
          <cell r="A583">
            <v>1811</v>
          </cell>
          <cell r="B583" t="str">
            <v>MARIANUM PRESS LTD</v>
          </cell>
          <cell r="C583" t="str">
            <v>Ennegayirira</v>
          </cell>
          <cell r="D583" t="str">
            <v>Prayer book</v>
          </cell>
          <cell r="E583" t="str">
            <v>piece</v>
          </cell>
          <cell r="F583" t="str">
            <v>Shillings</v>
          </cell>
          <cell r="G583"/>
        </row>
        <row r="584">
          <cell r="A584">
            <v>1811</v>
          </cell>
          <cell r="B584" t="str">
            <v>MARIANUM PRESS LTD</v>
          </cell>
          <cell r="C584" t="str">
            <v>Brochures/laflets</v>
          </cell>
          <cell r="D584" t="str">
            <v>Brochure</v>
          </cell>
          <cell r="E584" t="str">
            <v>piece</v>
          </cell>
          <cell r="F584" t="str">
            <v>Shillings</v>
          </cell>
          <cell r="G584"/>
        </row>
        <row r="585">
          <cell r="A585"/>
          <cell r="B585"/>
          <cell r="C585"/>
          <cell r="D585"/>
          <cell r="E585"/>
          <cell r="F585"/>
          <cell r="G585"/>
        </row>
        <row r="586">
          <cell r="B586" t="str">
            <v>Manufacture of chemicals and chemical products</v>
          </cell>
        </row>
        <row r="587">
          <cell r="B587" t="str">
            <v>Manufacture of other chemical products</v>
          </cell>
        </row>
        <row r="588">
          <cell r="A588" t="str">
            <v>2022</v>
          </cell>
          <cell r="B588" t="str">
            <v xml:space="preserve"> Manufacture of paints, varnishes and similar coatings, printing ink and mastics</v>
          </cell>
          <cell r="F588" t="str">
            <v>Index</v>
          </cell>
          <cell r="G588">
            <v>7.9440368859783304</v>
          </cell>
        </row>
        <row r="589">
          <cell r="B589" t="str">
            <v xml:space="preserve"> Manufacture of paints, varnishes and similar coatings, printing ink and mastics</v>
          </cell>
          <cell r="F589" t="str">
            <v>Geomean</v>
          </cell>
          <cell r="G589"/>
        </row>
        <row r="590">
          <cell r="A590">
            <v>2022</v>
          </cell>
          <cell r="B590" t="str">
            <v>REGAL PAINTS UGANDA LIMITED</v>
          </cell>
          <cell r="C590" t="str">
            <v>Rainbow Soft White</v>
          </cell>
          <cell r="D590" t="str">
            <v>Soft White</v>
          </cell>
          <cell r="E590" t="str">
            <v xml:space="preserve">Tin of 5 Litres </v>
          </cell>
          <cell r="F590" t="str">
            <v>Shillings</v>
          </cell>
          <cell r="G590"/>
        </row>
        <row r="591">
          <cell r="A591">
            <v>2022</v>
          </cell>
          <cell r="B591" t="str">
            <v>REGAL PAINTS UGANDA LIMITED</v>
          </cell>
          <cell r="C591" t="str">
            <v>Rainbow Gloss Soft White</v>
          </cell>
          <cell r="D591" t="str">
            <v>Soft White</v>
          </cell>
          <cell r="E591" t="str">
            <v xml:space="preserve">Tin of 5 Litres </v>
          </cell>
          <cell r="F591" t="str">
            <v>Shillings</v>
          </cell>
          <cell r="G591"/>
        </row>
        <row r="592">
          <cell r="A592">
            <v>2022</v>
          </cell>
          <cell r="B592" t="str">
            <v>REGAL PAINTS UGANDA LIMITED</v>
          </cell>
          <cell r="C592" t="str">
            <v>Permaguard Weathershield</v>
          </cell>
          <cell r="D592" t="str">
            <v>WeatherShield</v>
          </cell>
          <cell r="E592" t="str">
            <v xml:space="preserve">Tin of 5 Litres </v>
          </cell>
          <cell r="F592" t="str">
            <v>Shillings</v>
          </cell>
          <cell r="G592"/>
        </row>
        <row r="593">
          <cell r="A593">
            <v>2022</v>
          </cell>
          <cell r="B593" t="str">
            <v>REGAL PAINTS UGANDA LIMITED</v>
          </cell>
          <cell r="C593" t="str">
            <v>Emulsion Waterbased Silk Vinyl Emulsion</v>
          </cell>
          <cell r="D593" t="str">
            <v>Regal Silk Vinyl Emulsion</v>
          </cell>
          <cell r="E593" t="str">
            <v xml:space="preserve">Tin of 5 Litres </v>
          </cell>
          <cell r="F593" t="str">
            <v>Shillings</v>
          </cell>
          <cell r="G593"/>
        </row>
        <row r="594">
          <cell r="A594">
            <v>2022</v>
          </cell>
          <cell r="B594" t="str">
            <v>REGAL PAINTS UGANDA LIMITED</v>
          </cell>
          <cell r="C594" t="str">
            <v>Putty Window Putty</v>
          </cell>
          <cell r="D594" t="str">
            <v>Window Putty</v>
          </cell>
          <cell r="E594" t="str">
            <v>kilogram</v>
          </cell>
          <cell r="F594" t="str">
            <v>Shillings</v>
          </cell>
          <cell r="G594"/>
        </row>
        <row r="595">
          <cell r="A595">
            <v>2022</v>
          </cell>
          <cell r="B595" t="str">
            <v>BASCO PRODUCTS (UGANDA) LIMITED</v>
          </cell>
          <cell r="C595" t="str">
            <v>Emulsion - Pf-Permaflat</v>
          </cell>
          <cell r="D595" t="str">
            <v>water paint lower quality</v>
          </cell>
          <cell r="E595" t="str">
            <v>carton 20ltr</v>
          </cell>
          <cell r="F595" t="str">
            <v>Shillings</v>
          </cell>
          <cell r="G595"/>
        </row>
        <row r="596">
          <cell r="A596">
            <v>2022</v>
          </cell>
          <cell r="B596" t="str">
            <v>BASCO PRODUCTS (UGANDA) LIMITED</v>
          </cell>
          <cell r="C596" t="str">
            <v>Emulsion -Duracoat Vinysilk</v>
          </cell>
          <cell r="D596" t="str">
            <v>interior paints</v>
          </cell>
          <cell r="E596" t="str">
            <v>20 Litre Jerrycan</v>
          </cell>
          <cell r="F596" t="str">
            <v>Shillings</v>
          </cell>
          <cell r="G596"/>
        </row>
        <row r="597">
          <cell r="A597">
            <v>2022</v>
          </cell>
          <cell r="B597" t="str">
            <v>BASCO PRODUCTS (UGANDA) LIMITED</v>
          </cell>
          <cell r="C597" t="str">
            <v>Enamel - Perma Gloss (Pg)</v>
          </cell>
          <cell r="D597" t="str">
            <v>oil paint lower quality</v>
          </cell>
          <cell r="E597" t="str">
            <v>4ltr carton</v>
          </cell>
          <cell r="F597" t="str">
            <v>Shillings</v>
          </cell>
          <cell r="G597"/>
        </row>
        <row r="598">
          <cell r="A598">
            <v>2022</v>
          </cell>
          <cell r="B598" t="str">
            <v>BASCO PRODUCTS (UGANDA) LIMITED</v>
          </cell>
          <cell r="C598" t="str">
            <v>Emulsion - Weather Guard</v>
          </cell>
          <cell r="D598" t="str">
            <v>Exterior paints</v>
          </cell>
          <cell r="E598" t="str">
            <v>20 Litre Jerrycan</v>
          </cell>
          <cell r="F598" t="str">
            <v>Shillings</v>
          </cell>
          <cell r="G598"/>
        </row>
        <row r="599">
          <cell r="A599">
            <v>2022</v>
          </cell>
          <cell r="B599" t="str">
            <v>BASCO PRODUCTS (UGANDA) LIMITED</v>
          </cell>
          <cell r="C599" t="str">
            <v>Emulsion-Vinylmatt.White</v>
          </cell>
          <cell r="D599" t="str">
            <v>ceiling paint &amp; walls</v>
          </cell>
          <cell r="E599" t="str">
            <v>20 Litre Jerrycan</v>
          </cell>
          <cell r="F599" t="str">
            <v>Shillings</v>
          </cell>
          <cell r="G599"/>
        </row>
        <row r="600">
          <cell r="A600">
            <v>2022</v>
          </cell>
          <cell r="B600" t="str">
            <v>B.P.C. CHEMICALS LTD.</v>
          </cell>
          <cell r="C600" t="str">
            <v>Vinyl Emulsion</v>
          </cell>
          <cell r="D600" t="str">
            <v>Paint</v>
          </cell>
          <cell r="E600" t="str">
            <v>20 Litre Jerrycan</v>
          </cell>
          <cell r="F600" t="str">
            <v>Shillings</v>
          </cell>
          <cell r="G600"/>
        </row>
        <row r="601">
          <cell r="A601">
            <v>2022</v>
          </cell>
          <cell r="B601" t="str">
            <v>B.P.C. CHEMICALS LTD.</v>
          </cell>
          <cell r="C601" t="str">
            <v>Plastic Primer Emulsion</v>
          </cell>
          <cell r="D601" t="str">
            <v>Plastic Primer-Red in Colour</v>
          </cell>
          <cell r="E601" t="str">
            <v>20 Litre Jerrycan</v>
          </cell>
          <cell r="F601" t="str">
            <v>Shillings</v>
          </cell>
          <cell r="G601"/>
        </row>
        <row r="602">
          <cell r="A602">
            <v>2022</v>
          </cell>
          <cell r="B602" t="str">
            <v>B.P.C. CHEMICALS LTD.</v>
          </cell>
          <cell r="C602" t="str">
            <v>Economy Emulsion</v>
          </cell>
          <cell r="D602" t="str">
            <v>Paint</v>
          </cell>
          <cell r="E602" t="str">
            <v>20 Litre Jerrycan</v>
          </cell>
          <cell r="F602" t="str">
            <v>Shillings</v>
          </cell>
          <cell r="G602"/>
        </row>
        <row r="603">
          <cell r="A603">
            <v>2022</v>
          </cell>
          <cell r="B603" t="str">
            <v>B.P.C. CHEMICALS LTD.</v>
          </cell>
          <cell r="C603" t="str">
            <v>High Gloss(oil paint)</v>
          </cell>
          <cell r="D603" t="str">
            <v>High Glass Paint</v>
          </cell>
          <cell r="E603" t="str">
            <v>20 Litre Jerrycan</v>
          </cell>
          <cell r="F603" t="str">
            <v>Shillings</v>
          </cell>
          <cell r="G603"/>
        </row>
        <row r="604">
          <cell r="A604">
            <v>2022</v>
          </cell>
          <cell r="B604" t="str">
            <v>B.P.C. CHEMICALS LTD.</v>
          </cell>
          <cell r="C604" t="str">
            <v>Thinner</v>
          </cell>
          <cell r="D604" t="str">
            <v xml:space="preserve">Thinner </v>
          </cell>
          <cell r="E604" t="str">
            <v>5 Litre Jerrycan</v>
          </cell>
          <cell r="F604" t="str">
            <v>Shillings</v>
          </cell>
          <cell r="G604"/>
        </row>
        <row r="605">
          <cell r="A605">
            <v>2022</v>
          </cell>
          <cell r="B605" t="str">
            <v>GLOBAL PAINT COMPANY LTD</v>
          </cell>
          <cell r="C605" t="str">
            <v xml:space="preserve">Undercoat Emulsion </v>
          </cell>
          <cell r="D605" t="str">
            <v xml:space="preserve">Undercoat Emulsion-water based </v>
          </cell>
          <cell r="E605" t="str">
            <v>4ltr jerrycan</v>
          </cell>
          <cell r="F605" t="str">
            <v>Shillings</v>
          </cell>
          <cell r="G605"/>
        </row>
        <row r="606">
          <cell r="A606">
            <v>2022</v>
          </cell>
          <cell r="B606" t="str">
            <v>GLOBAL PAINT COMPANY LTD</v>
          </cell>
          <cell r="C606" t="str">
            <v>Texture Paste</v>
          </cell>
          <cell r="D606" t="str">
            <v>Texture Paste - water based</v>
          </cell>
          <cell r="E606" t="str">
            <v>30 kg (bucket)</v>
          </cell>
          <cell r="F606" t="str">
            <v>Shillings</v>
          </cell>
          <cell r="G606"/>
        </row>
        <row r="607">
          <cell r="A607">
            <v>2022</v>
          </cell>
          <cell r="B607" t="str">
            <v>GLOBAL PAINT COMPANY LTD</v>
          </cell>
          <cell r="C607" t="str">
            <v>Silk vinyl</v>
          </cell>
          <cell r="D607" t="str">
            <v>Silk Vinyl - water based</v>
          </cell>
          <cell r="E607" t="str">
            <v>20 ltrs (bucket)</v>
          </cell>
          <cell r="F607" t="str">
            <v>Shillings</v>
          </cell>
          <cell r="G607"/>
        </row>
        <row r="608">
          <cell r="A608">
            <v>2022</v>
          </cell>
          <cell r="B608" t="str">
            <v>GLOBAL PAINT COMPANY LTD</v>
          </cell>
          <cell r="C608" t="str">
            <v>Weather coat emulsion</v>
          </cell>
          <cell r="D608" t="str">
            <v>Weather coat emulsion - water based</v>
          </cell>
          <cell r="E608" t="str">
            <v>20 ltrs (bucket)</v>
          </cell>
          <cell r="F608" t="str">
            <v>Shillings</v>
          </cell>
          <cell r="G608"/>
        </row>
        <row r="609">
          <cell r="A609">
            <v>2022</v>
          </cell>
          <cell r="B609" t="str">
            <v>GLOBAL PAINT COMPANY LTD</v>
          </cell>
          <cell r="C609" t="str">
            <v>High Gloss</v>
          </cell>
          <cell r="D609" t="str">
            <v>High Glass Paint- solvent based</v>
          </cell>
          <cell r="E609" t="str">
            <v>4 ltr tin</v>
          </cell>
          <cell r="F609" t="str">
            <v>Shillings</v>
          </cell>
          <cell r="G609"/>
        </row>
        <row r="610">
          <cell r="A610">
            <v>2022</v>
          </cell>
          <cell r="B610" t="str">
            <v>GLOBAL PAINT COMPANY LTD</v>
          </cell>
          <cell r="C610" t="str">
            <v>Super Gloss</v>
          </cell>
          <cell r="D610" t="str">
            <v>Super Gloss - Solvent based</v>
          </cell>
          <cell r="E610" t="str">
            <v>4ltr tin</v>
          </cell>
          <cell r="F610" t="str">
            <v>Shillings</v>
          </cell>
          <cell r="G610"/>
        </row>
        <row r="611">
          <cell r="A611">
            <v>2022</v>
          </cell>
          <cell r="B611" t="str">
            <v>GLOBAL PAINT COMPANY LTD</v>
          </cell>
          <cell r="C611" t="str">
            <v>Wood Varnish (clear vanish)</v>
          </cell>
          <cell r="D611" t="str">
            <v>Wood Varnish (Clear)-solvent based</v>
          </cell>
          <cell r="E611" t="str">
            <v>4ltr tin</v>
          </cell>
          <cell r="F611" t="str">
            <v>Shillings</v>
          </cell>
          <cell r="G611"/>
        </row>
        <row r="612">
          <cell r="A612">
            <v>2022</v>
          </cell>
          <cell r="B612" t="str">
            <v>GLOBAL PAINT COMPANY LTD</v>
          </cell>
          <cell r="C612" t="str">
            <v>Fast Dry</v>
          </cell>
          <cell r="D612" t="str">
            <v>Fast Dry-solvent based</v>
          </cell>
          <cell r="E612" t="str">
            <v>4ltr tin</v>
          </cell>
          <cell r="F612" t="str">
            <v>Shillings</v>
          </cell>
          <cell r="G612"/>
        </row>
        <row r="613">
          <cell r="A613">
            <v>2022</v>
          </cell>
          <cell r="B613" t="str">
            <v>SADOLIN PAINTS</v>
          </cell>
          <cell r="C613" t="str">
            <v>Vinly Matt Emulsion</v>
          </cell>
          <cell r="D613" t="str">
            <v>Water based interior</v>
          </cell>
          <cell r="E613" t="str">
            <v>20l jerrican</v>
          </cell>
          <cell r="F613" t="str">
            <v>Shillings</v>
          </cell>
          <cell r="G613"/>
        </row>
        <row r="614">
          <cell r="A614">
            <v>2022</v>
          </cell>
          <cell r="B614" t="str">
            <v>SADOLIN PAINTS</v>
          </cell>
          <cell r="C614" t="str">
            <v>Vinyl silk emulsion</v>
          </cell>
          <cell r="D614" t="str">
            <v>Water based interior</v>
          </cell>
          <cell r="E614" t="str">
            <v>20l jerrican</v>
          </cell>
          <cell r="F614" t="str">
            <v>Shillings</v>
          </cell>
          <cell r="G614"/>
        </row>
        <row r="615">
          <cell r="A615">
            <v>2022</v>
          </cell>
          <cell r="B615" t="str">
            <v>SADOLIN PAINTS</v>
          </cell>
          <cell r="C615" t="str">
            <v>Flat emulsion (wall cover)</v>
          </cell>
          <cell r="D615" t="str">
            <v>Water based interior</v>
          </cell>
          <cell r="E615" t="str">
            <v>20l jerrican</v>
          </cell>
          <cell r="F615" t="str">
            <v>Shillings</v>
          </cell>
          <cell r="G615"/>
        </row>
        <row r="616">
          <cell r="A616">
            <v>2022</v>
          </cell>
          <cell r="B616" t="str">
            <v>SADOLIN PAINTS</v>
          </cell>
          <cell r="C616" t="str">
            <v>Weather guard</v>
          </cell>
          <cell r="D616" t="str">
            <v>Oil based exterior/ interior</v>
          </cell>
          <cell r="E616" t="str">
            <v>20l jerrican</v>
          </cell>
          <cell r="F616" t="str">
            <v>Shillings</v>
          </cell>
          <cell r="G616"/>
        </row>
        <row r="617">
          <cell r="A617">
            <v>2022</v>
          </cell>
          <cell r="B617" t="str">
            <v>SADOLIN PAINTS</v>
          </cell>
          <cell r="C617" t="str">
            <v>Standard thinner</v>
          </cell>
          <cell r="D617" t="str">
            <v>Standard thinner</v>
          </cell>
          <cell r="E617" t="str">
            <v>20l jerrican</v>
          </cell>
          <cell r="F617" t="str">
            <v>Shillings</v>
          </cell>
          <cell r="G617"/>
        </row>
        <row r="618">
          <cell r="G618"/>
        </row>
        <row r="619">
          <cell r="A619" t="str">
            <v>2023</v>
          </cell>
          <cell r="B619" t="str">
            <v xml:space="preserve"> Manufacture of soap and detergents, cleaning and polishing preparations, perfumes and toilet preparations</v>
          </cell>
          <cell r="F619" t="str">
            <v>Index</v>
          </cell>
          <cell r="G619">
            <v>21.936329819094301</v>
          </cell>
        </row>
        <row r="620">
          <cell r="B620" t="str">
            <v xml:space="preserve"> Manufacture of soap and detergents, cleaning and polishing preparations, perfumes and toilet preparations</v>
          </cell>
          <cell r="F620" t="str">
            <v>Geomean</v>
          </cell>
          <cell r="G620"/>
        </row>
        <row r="621">
          <cell r="A621">
            <v>2023</v>
          </cell>
          <cell r="B621" t="str">
            <v>BIDCO (U) LIMITED</v>
          </cell>
          <cell r="C621" t="str">
            <v>Laundry Soap-Bull White</v>
          </cell>
          <cell r="D621" t="str">
            <v>Laundry Soap-Bull White</v>
          </cell>
          <cell r="E621" t="str">
            <v>(Carton of 12*600)</v>
          </cell>
          <cell r="F621" t="str">
            <v>Shillings</v>
          </cell>
          <cell r="G621"/>
        </row>
        <row r="622">
          <cell r="A622">
            <v>2023</v>
          </cell>
          <cell r="B622" t="str">
            <v>BIDCO (U) LIMITED</v>
          </cell>
          <cell r="C622" t="str">
            <v>Laundry Soap Kuku bar</v>
          </cell>
          <cell r="D622" t="str">
            <v>Laundry Soap Kuku bar</v>
          </cell>
          <cell r="E622" t="str">
            <v>(carton of 25 X600)</v>
          </cell>
          <cell r="F622" t="str">
            <v>Shillings</v>
          </cell>
          <cell r="G622"/>
        </row>
        <row r="623">
          <cell r="A623">
            <v>2023</v>
          </cell>
          <cell r="B623" t="str">
            <v>LEEKO (UGANDA) LIMITED.</v>
          </cell>
          <cell r="C623" t="str">
            <v>Tooth paste</v>
          </cell>
          <cell r="D623" t="str">
            <v>Red Jelly 70gm</v>
          </cell>
          <cell r="E623" t="str">
            <v>Per carton of 144 pieces</v>
          </cell>
          <cell r="F623" t="str">
            <v>Shillings</v>
          </cell>
          <cell r="G623"/>
        </row>
        <row r="624">
          <cell r="A624">
            <v>2023</v>
          </cell>
          <cell r="B624" t="str">
            <v>LEEKO (UGANDA) LIMITED.</v>
          </cell>
          <cell r="C624" t="str">
            <v>Tooth paste</v>
          </cell>
          <cell r="D624" t="str">
            <v>Herbal Jelly 70gm</v>
          </cell>
          <cell r="E624" t="str">
            <v>Per carton of 144 pieces</v>
          </cell>
          <cell r="F624" t="str">
            <v>Shillings</v>
          </cell>
          <cell r="G624"/>
        </row>
        <row r="625">
          <cell r="A625">
            <v>2023</v>
          </cell>
          <cell r="B625" t="str">
            <v>LEEKO (UGANDA) LIMITED.</v>
          </cell>
          <cell r="C625" t="str">
            <v>Tooth paste</v>
          </cell>
          <cell r="D625" t="str">
            <v>White tooth paste 70gm</v>
          </cell>
          <cell r="E625" t="str">
            <v>Per carton of 144 pieces</v>
          </cell>
          <cell r="F625" t="str">
            <v>Shillings</v>
          </cell>
          <cell r="G625"/>
        </row>
        <row r="626">
          <cell r="A626">
            <v>2023</v>
          </cell>
          <cell r="B626" t="str">
            <v>LEEKO (UGANDA) LIMITED.</v>
          </cell>
          <cell r="C626" t="str">
            <v>Soap</v>
          </cell>
          <cell r="D626" t="str">
            <v>La Bonita 70gm</v>
          </cell>
          <cell r="E626" t="str">
            <v>carton of 72 pieces</v>
          </cell>
          <cell r="F626" t="str">
            <v>Shillings</v>
          </cell>
          <cell r="G626"/>
        </row>
        <row r="627">
          <cell r="A627">
            <v>2023</v>
          </cell>
          <cell r="B627" t="str">
            <v>LEEKO (UGANDA) LIMITED.</v>
          </cell>
          <cell r="C627" t="str">
            <v>Soap</v>
          </cell>
          <cell r="D627" t="str">
            <v>Neem Aloe vera 115gm</v>
          </cell>
          <cell r="E627" t="str">
            <v>carton of 36 pieces</v>
          </cell>
          <cell r="F627" t="str">
            <v>Shillings</v>
          </cell>
          <cell r="G627"/>
        </row>
        <row r="628">
          <cell r="A628">
            <v>2023</v>
          </cell>
          <cell r="B628" t="str">
            <v>LEEKO (UGANDA) LIMITED.</v>
          </cell>
          <cell r="C628" t="str">
            <v>Soap</v>
          </cell>
          <cell r="D628" t="str">
            <v>Saffron 115gm</v>
          </cell>
          <cell r="E628" t="str">
            <v>carton of 36 pieces</v>
          </cell>
          <cell r="F628" t="str">
            <v>Shillings</v>
          </cell>
          <cell r="G628"/>
        </row>
        <row r="629">
          <cell r="A629">
            <v>2023</v>
          </cell>
          <cell r="B629" t="str">
            <v>NILE AGRO INDUSTRIES LIMITED</v>
          </cell>
          <cell r="C629" t="str">
            <v>Nile Pamba blue (25 bars X 600gms)</v>
          </cell>
          <cell r="D629" t="str">
            <v>Nile Pamba blue (25 bars X 600gms)</v>
          </cell>
          <cell r="E629" t="str">
            <v>carton</v>
          </cell>
          <cell r="F629" t="str">
            <v>Shillings</v>
          </cell>
          <cell r="G629"/>
        </row>
        <row r="631">
          <cell r="A631" t="str">
            <v>2029</v>
          </cell>
          <cell r="B631" t="str">
            <v xml:space="preserve"> Manufacture of other chemical products n.e.c.</v>
          </cell>
          <cell r="D631" t="str">
            <v xml:space="preserve">CPI for matches </v>
          </cell>
          <cell r="F631" t="str">
            <v>Index</v>
          </cell>
          <cell r="G631">
            <v>6.6073233587270499</v>
          </cell>
        </row>
        <row r="632">
          <cell r="A632" t="str">
            <v>2029</v>
          </cell>
          <cell r="B632" t="str">
            <v xml:space="preserve"> Manufacture of other chemical products n.e.c.</v>
          </cell>
          <cell r="F632" t="str">
            <v>Geomean</v>
          </cell>
          <cell r="G632"/>
        </row>
        <row r="633">
          <cell r="A633">
            <v>2029</v>
          </cell>
          <cell r="B633" t="str">
            <v>MOVIT PRODUCTS LIMITED</v>
          </cell>
          <cell r="C633" t="str">
            <v>Skin Care</v>
          </cell>
          <cell r="D633" t="str">
            <v>Jelly 50 gms</v>
          </cell>
          <cell r="E633" t="str">
            <v xml:space="preserve">Per Carton </v>
          </cell>
          <cell r="F633" t="str">
            <v>Shillings</v>
          </cell>
          <cell r="G633"/>
        </row>
        <row r="634">
          <cell r="A634">
            <v>2029</v>
          </cell>
          <cell r="B634" t="str">
            <v>MOVIT PRODUCTS LIMITED</v>
          </cell>
          <cell r="C634" t="str">
            <v>Skin Care</v>
          </cell>
          <cell r="D634" t="str">
            <v>Baby Jelly 50gms</v>
          </cell>
          <cell r="E634" t="str">
            <v>Per Carton</v>
          </cell>
          <cell r="F634" t="str">
            <v>Shillings</v>
          </cell>
          <cell r="G634"/>
        </row>
        <row r="635">
          <cell r="A635">
            <v>2029</v>
          </cell>
          <cell r="B635" t="str">
            <v>MOVIT PRODUCTS LIMITED</v>
          </cell>
          <cell r="C635" t="str">
            <v>Hair Care</v>
          </cell>
          <cell r="D635" t="str">
            <v>Hair Pomade 70gms</v>
          </cell>
          <cell r="E635" t="str">
            <v>Per Carton</v>
          </cell>
          <cell r="F635" t="str">
            <v>Shillings</v>
          </cell>
          <cell r="G635"/>
        </row>
        <row r="636">
          <cell r="A636">
            <v>2029</v>
          </cell>
          <cell r="B636" t="str">
            <v>MOVIT PRODUCTS LIMITED</v>
          </cell>
          <cell r="C636" t="str">
            <v>Hair Care</v>
          </cell>
          <cell r="D636" t="str">
            <v>Curl Activator 80gms</v>
          </cell>
          <cell r="E636" t="str">
            <v>Per Carton</v>
          </cell>
          <cell r="F636" t="str">
            <v>Shillings</v>
          </cell>
          <cell r="G636"/>
        </row>
        <row r="637">
          <cell r="A637">
            <v>2029</v>
          </cell>
          <cell r="B637" t="str">
            <v>MOVIT PRODUCTS LIMITED</v>
          </cell>
          <cell r="C637" t="str">
            <v>Hair Care</v>
          </cell>
          <cell r="D637" t="str">
            <v>Super Relaxer 500gms</v>
          </cell>
          <cell r="E637" t="str">
            <v>Per Carton</v>
          </cell>
          <cell r="F637" t="str">
            <v>Shillings</v>
          </cell>
          <cell r="G637"/>
        </row>
        <row r="638">
          <cell r="A638">
            <v>2029</v>
          </cell>
          <cell r="B638" t="str">
            <v>LEEKO (UGANDA) LIMITED.</v>
          </cell>
          <cell r="C638" t="str">
            <v>Petroleum Jelly</v>
          </cell>
          <cell r="D638" t="str">
            <v>Herbal Jelly 100gm plastic tin</v>
          </cell>
          <cell r="E638" t="str">
            <v>carton of 36 tins</v>
          </cell>
          <cell r="F638" t="str">
            <v>Shillings</v>
          </cell>
          <cell r="G638"/>
        </row>
        <row r="639">
          <cell r="A639">
            <v>2029</v>
          </cell>
          <cell r="B639" t="str">
            <v>LEEKO (UGANDA) LIMITED.</v>
          </cell>
          <cell r="C639" t="str">
            <v>Petroleum Jelly</v>
          </cell>
          <cell r="D639" t="str">
            <v>Baby Jelly 100gm plastic tin</v>
          </cell>
          <cell r="E639" t="str">
            <v>carton of 36 tins</v>
          </cell>
          <cell r="F639" t="str">
            <v>Shillings</v>
          </cell>
          <cell r="G639"/>
        </row>
        <row r="640">
          <cell r="A640">
            <v>2029</v>
          </cell>
          <cell r="B640" t="str">
            <v>MAKEPASI MATCH LIMITED</v>
          </cell>
          <cell r="C640" t="str">
            <v>Matches</v>
          </cell>
          <cell r="D640" t="str">
            <v>Krishna</v>
          </cell>
          <cell r="E640" t="str">
            <v>cartons</v>
          </cell>
          <cell r="F640" t="str">
            <v>Shillings</v>
          </cell>
          <cell r="G640"/>
        </row>
        <row r="641">
          <cell r="A641">
            <v>2029</v>
          </cell>
          <cell r="B641" t="str">
            <v>MAKEPASI MATCH LIMITED</v>
          </cell>
          <cell r="C641" t="str">
            <v>Matches</v>
          </cell>
          <cell r="D641" t="str">
            <v>Elephant</v>
          </cell>
          <cell r="E641" t="str">
            <v>cartons</v>
          </cell>
          <cell r="F641" t="str">
            <v>Shillings</v>
          </cell>
          <cell r="G641"/>
        </row>
        <row r="642">
          <cell r="A642">
            <v>2029</v>
          </cell>
          <cell r="B642" t="str">
            <v>ALIYZECO INDUSTRIES LIMITED</v>
          </cell>
          <cell r="C642" t="str">
            <v>Labelle Coconut Oil</v>
          </cell>
          <cell r="D642" t="str">
            <v xml:space="preserve">labelle coconut oil 65gm </v>
          </cell>
          <cell r="E642" t="str">
            <v>Piece</v>
          </cell>
          <cell r="F642" t="str">
            <v>Shillings</v>
          </cell>
          <cell r="G642"/>
        </row>
        <row r="643">
          <cell r="A643">
            <v>2029</v>
          </cell>
          <cell r="B643" t="str">
            <v>ALIYZECO INDUSTRIES LIMITED</v>
          </cell>
          <cell r="C643" t="str">
            <v>Labelle Hair Dye</v>
          </cell>
          <cell r="D643" t="str">
            <v>Labelle Hair Dye, 85ml</v>
          </cell>
          <cell r="E643" t="str">
            <v>Pet Bottle</v>
          </cell>
          <cell r="F643" t="str">
            <v>Shillings</v>
          </cell>
          <cell r="G643"/>
        </row>
        <row r="644">
          <cell r="A644">
            <v>2029</v>
          </cell>
          <cell r="B644" t="str">
            <v>ALIYZECO INDUSTRIES LIMITED</v>
          </cell>
          <cell r="C644" t="str">
            <v>Labelle Hand and Body Lotion</v>
          </cell>
          <cell r="D644" t="str">
            <v>Labelle Hand &amp; Body Lotion, Milk 100mls</v>
          </cell>
          <cell r="E644" t="str">
            <v>Pet Bottle</v>
          </cell>
          <cell r="F644" t="str">
            <v>Shillings</v>
          </cell>
          <cell r="G644"/>
        </row>
        <row r="645">
          <cell r="A645">
            <v>2029</v>
          </cell>
          <cell r="B645" t="str">
            <v>ALIYZECO INDUSTRIES LIMITED</v>
          </cell>
          <cell r="C645" t="str">
            <v>Labelle Perfumed Baby Jelly</v>
          </cell>
          <cell r="D645" t="str">
            <v>Labelle Perfumed Baby Jelly, 250gm</v>
          </cell>
          <cell r="E645" t="str">
            <v>Piece</v>
          </cell>
          <cell r="F645" t="str">
            <v>Shillings</v>
          </cell>
          <cell r="G645"/>
        </row>
        <row r="646">
          <cell r="A646">
            <v>2029</v>
          </cell>
          <cell r="B646" t="str">
            <v>ALIYZECO INDUSTRIES LIMITED</v>
          </cell>
          <cell r="C646" t="str">
            <v>Labelle Relaxer Crème</v>
          </cell>
          <cell r="D646" t="str">
            <v>Labelle Relaxer Crème</v>
          </cell>
          <cell r="E646" t="str">
            <v>kilogram</v>
          </cell>
          <cell r="F646" t="str">
            <v>Shillings</v>
          </cell>
          <cell r="G646"/>
        </row>
        <row r="647">
          <cell r="G647"/>
        </row>
        <row r="648">
          <cell r="B648" t="str">
            <v>Manufacture of pharmaceuticals, medicinal chemical and botanical products</v>
          </cell>
        </row>
        <row r="649">
          <cell r="A649" t="str">
            <v>2100</v>
          </cell>
          <cell r="B649" t="str">
            <v xml:space="preserve"> Manufacture of pharmaceuticals, medicinal chemical and botanical products</v>
          </cell>
          <cell r="F649" t="str">
            <v>Index</v>
          </cell>
          <cell r="G649">
            <v>73.679830723938096</v>
          </cell>
        </row>
        <row r="650">
          <cell r="B650" t="str">
            <v xml:space="preserve"> Manufacture of pharmaceuticals, medicinal chemical and botanical products</v>
          </cell>
          <cell r="F650" t="str">
            <v>Geomean</v>
          </cell>
          <cell r="G650"/>
        </row>
        <row r="651">
          <cell r="A651">
            <v>2100</v>
          </cell>
          <cell r="B651" t="str">
            <v>CIPLA QUALITY CHEMICAL INDUSTRIES LIMITED</v>
          </cell>
          <cell r="C651" t="str">
            <v>Lumartem 24x1</v>
          </cell>
          <cell r="D651" t="str">
            <v>Lumartem 24x1</v>
          </cell>
          <cell r="E651" t="str">
            <v>Dose</v>
          </cell>
          <cell r="F651" t="str">
            <v>Shillings</v>
          </cell>
          <cell r="G651"/>
        </row>
        <row r="652">
          <cell r="A652">
            <v>2100</v>
          </cell>
          <cell r="B652" t="str">
            <v>CIPLA QUALITY CHEMICAL INDUSTRIES LIMITED</v>
          </cell>
          <cell r="C652" t="str">
            <v>Douvir N</v>
          </cell>
          <cell r="D652" t="str">
            <v>Douvir N</v>
          </cell>
          <cell r="E652" t="str">
            <v>Monthly Dose</v>
          </cell>
          <cell r="F652" t="str">
            <v>Shillings</v>
          </cell>
          <cell r="G652"/>
        </row>
        <row r="653">
          <cell r="A653">
            <v>2100</v>
          </cell>
          <cell r="B653" t="str">
            <v>CIPLA QUALITY CHEMICAL INDUSTRIES LIMITED</v>
          </cell>
          <cell r="C653" t="str">
            <v>Douvir Tab</v>
          </cell>
          <cell r="D653" t="str">
            <v>Douvir Tab</v>
          </cell>
          <cell r="E653" t="str">
            <v>Monthly Dose</v>
          </cell>
          <cell r="F653" t="str">
            <v>Shillings</v>
          </cell>
          <cell r="G653"/>
        </row>
        <row r="654">
          <cell r="A654">
            <v>2100</v>
          </cell>
          <cell r="B654" t="str">
            <v>CIPLA QUALITY CHEMICAL INDUSTRIES LIMITED</v>
          </cell>
          <cell r="C654" t="str">
            <v>Effavir(600NG)</v>
          </cell>
          <cell r="D654" t="str">
            <v>Effavir(600NG)</v>
          </cell>
          <cell r="E654" t="str">
            <v>Monthly Dose</v>
          </cell>
          <cell r="F654" t="str">
            <v>Shillings</v>
          </cell>
          <cell r="G654"/>
        </row>
        <row r="655">
          <cell r="A655">
            <v>2100</v>
          </cell>
          <cell r="B655" t="str">
            <v>CIPLA QUALITY CHEMICAL INDUSTRIES LIMITED</v>
          </cell>
          <cell r="C655" t="str">
            <v>Nevimune tabs</v>
          </cell>
          <cell r="D655" t="str">
            <v>Nevimune tabs</v>
          </cell>
          <cell r="E655" t="str">
            <v>Monthly Dose</v>
          </cell>
          <cell r="F655" t="str">
            <v>Shillings</v>
          </cell>
          <cell r="G655"/>
        </row>
        <row r="656">
          <cell r="A656">
            <v>2100</v>
          </cell>
          <cell r="B656" t="str">
            <v>CIPLA QUALITY CHEMICAL INDUSTRIES LIMITED</v>
          </cell>
          <cell r="C656" t="str">
            <v>HIV/Aids Drugs (Duonune Tab)</v>
          </cell>
          <cell r="D656" t="str">
            <v>HIV/Aids Drugs (Duonune Tab)</v>
          </cell>
          <cell r="E656" t="str">
            <v>Monthly Dose</v>
          </cell>
          <cell r="F656" t="str">
            <v>Shillings</v>
          </cell>
          <cell r="G656"/>
        </row>
        <row r="657">
          <cell r="A657">
            <v>2100</v>
          </cell>
          <cell r="B657" t="str">
            <v>CIPLA QUALITY CHEMICAL INDUSTRIES LIMITED</v>
          </cell>
          <cell r="C657" t="str">
            <v>Trioday</v>
          </cell>
          <cell r="D657" t="str">
            <v>Trioday</v>
          </cell>
          <cell r="E657" t="str">
            <v>Monthly Dose</v>
          </cell>
          <cell r="F657" t="str">
            <v>Shillings</v>
          </cell>
          <cell r="G657"/>
        </row>
        <row r="658">
          <cell r="A658">
            <v>2100</v>
          </cell>
          <cell r="B658" t="str">
            <v>ABACUS PARENTERALS DRUGS LTD</v>
          </cell>
          <cell r="C658" t="str">
            <v>Dextrose</v>
          </cell>
          <cell r="D658" t="str">
            <v>Dextrose D5</v>
          </cell>
          <cell r="E658" t="str">
            <v>500ml</v>
          </cell>
          <cell r="F658" t="str">
            <v>Shillings</v>
          </cell>
          <cell r="G658"/>
        </row>
        <row r="659">
          <cell r="A659">
            <v>2100</v>
          </cell>
          <cell r="B659" t="str">
            <v>ABACUS PARENTERALS DRUGS LTD</v>
          </cell>
          <cell r="C659" t="str">
            <v>Normal Saline</v>
          </cell>
          <cell r="D659" t="str">
            <v>Sodium Chloride</v>
          </cell>
          <cell r="E659" t="str">
            <v>500ml Bottle</v>
          </cell>
          <cell r="F659" t="str">
            <v>Shillings</v>
          </cell>
          <cell r="G659"/>
        </row>
        <row r="660">
          <cell r="A660">
            <v>2100</v>
          </cell>
          <cell r="B660" t="str">
            <v>ABACUS PARENTERALS DRUGS LTD</v>
          </cell>
          <cell r="C660" t="str">
            <v>Injection Water</v>
          </cell>
          <cell r="D660" t="str">
            <v>Injection Water</v>
          </cell>
          <cell r="E660" t="str">
            <v>10ml</v>
          </cell>
          <cell r="F660" t="str">
            <v>Shillings</v>
          </cell>
          <cell r="G660"/>
        </row>
        <row r="661">
          <cell r="A661">
            <v>2100</v>
          </cell>
          <cell r="B661" t="str">
            <v>ABACUS PARENTERALS DRUGS LTD</v>
          </cell>
          <cell r="C661" t="str">
            <v>Water and Salt</v>
          </cell>
          <cell r="D661" t="str">
            <v>Half Darlos</v>
          </cell>
          <cell r="E661"/>
          <cell r="F661" t="str">
            <v>Shillings</v>
          </cell>
          <cell r="G661"/>
        </row>
        <row r="662">
          <cell r="A662">
            <v>2100</v>
          </cell>
          <cell r="B662" t="str">
            <v>ABACUS PARENTERALS DRUGS LTD</v>
          </cell>
          <cell r="C662" t="str">
            <v>Antibiotics</v>
          </cell>
          <cell r="D662" t="str">
            <v>Gentamine (AB Genta)</v>
          </cell>
          <cell r="E662"/>
          <cell r="F662" t="str">
            <v>Shillings</v>
          </cell>
          <cell r="G662"/>
        </row>
        <row r="663">
          <cell r="A663">
            <v>2100</v>
          </cell>
          <cell r="B663" t="str">
            <v>ABACUS PARENTERALS DRUGS LTD</v>
          </cell>
          <cell r="C663" t="str">
            <v>Antibiotics</v>
          </cell>
          <cell r="D663" t="str">
            <v>Chloramaphormical Ea</v>
          </cell>
          <cell r="E663"/>
          <cell r="F663" t="str">
            <v>Shillings</v>
          </cell>
          <cell r="G663"/>
        </row>
        <row r="664">
          <cell r="A664">
            <v>2100</v>
          </cell>
          <cell r="B664" t="str">
            <v>ABACUS PARENTERALS DRUGS LTD</v>
          </cell>
          <cell r="C664" t="str">
            <v>Antibiotics</v>
          </cell>
          <cell r="D664" t="str">
            <v>Ciprocin (Plastic)</v>
          </cell>
          <cell r="E664"/>
          <cell r="F664" t="str">
            <v>Shillings</v>
          </cell>
          <cell r="G664"/>
        </row>
        <row r="665">
          <cell r="A665">
            <v>2100</v>
          </cell>
          <cell r="B665" t="str">
            <v>KAMPALA PHARMACEUTICAL INDUSTRIES 1996 LIMITED</v>
          </cell>
          <cell r="C665" t="str">
            <v>Azuclox</v>
          </cell>
          <cell r="D665" t="str">
            <v>ampicillini 250mg</v>
          </cell>
          <cell r="E665" t="str">
            <v>Carton, 10X10 packetes</v>
          </cell>
          <cell r="F665" t="str">
            <v>Shillings</v>
          </cell>
          <cell r="G665"/>
        </row>
        <row r="666">
          <cell r="A666">
            <v>2100</v>
          </cell>
          <cell r="B666" t="str">
            <v>KAMPALA PHARMACEUTICAL INDUSTRIES 1996 LIMITED</v>
          </cell>
          <cell r="C666" t="str">
            <v>Fansidar</v>
          </cell>
          <cell r="D666" t="str">
            <v>Fansidar/Sulphadoxine 500mg</v>
          </cell>
          <cell r="E666" t="str">
            <v>Carton, 10X10 packetes</v>
          </cell>
          <cell r="F666" t="str">
            <v>Shillings</v>
          </cell>
          <cell r="G666"/>
        </row>
        <row r="667">
          <cell r="A667">
            <v>2100</v>
          </cell>
          <cell r="B667" t="str">
            <v>KAMPALA PHARMACEUTICAL INDUSTRIES 1996 LIMITED</v>
          </cell>
          <cell r="C667" t="str">
            <v>Topicals(MCG)</v>
          </cell>
          <cell r="D667" t="str">
            <v>15mg  Micanozole clobetasal tube</v>
          </cell>
          <cell r="E667" t="str">
            <v>Carton, 10X10 packetes</v>
          </cell>
          <cell r="F667" t="str">
            <v>Shillings</v>
          </cell>
          <cell r="G667"/>
        </row>
        <row r="668">
          <cell r="A668">
            <v>2100</v>
          </cell>
          <cell r="B668" t="str">
            <v>KAMPALA PHARMACEUTICAL INDUSTRIES 1996 LIMITED</v>
          </cell>
          <cell r="C668" t="str">
            <v>Ibuprofen 200Mg</v>
          </cell>
          <cell r="D668" t="str">
            <v>ibuprofen 200mg</v>
          </cell>
          <cell r="E668" t="str">
            <v>no. of tablets</v>
          </cell>
          <cell r="F668" t="str">
            <v>Shillings</v>
          </cell>
          <cell r="G668"/>
        </row>
        <row r="669">
          <cell r="A669">
            <v>2100</v>
          </cell>
          <cell r="B669" t="str">
            <v>KAMPALA PHARMACEUTICAL INDUSTRIES 1996 LIMITED</v>
          </cell>
          <cell r="C669" t="str">
            <v>Kam Ampi</v>
          </cell>
          <cell r="D669" t="str">
            <v>ampicillini,trihydrate 250mg capsules</v>
          </cell>
          <cell r="E669" t="str">
            <v>no. of capsules</v>
          </cell>
          <cell r="F669" t="str">
            <v>Shillings</v>
          </cell>
          <cell r="G669"/>
        </row>
        <row r="670">
          <cell r="A670">
            <v>2100</v>
          </cell>
          <cell r="B670" t="str">
            <v>KAMPALA PHARMACEUTICAL INDUSTRIES 1996 LIMITED</v>
          </cell>
          <cell r="C670" t="str">
            <v>Kamadol (Paracetamol 500Mg)</v>
          </cell>
          <cell r="D670" t="str">
            <v>paracetamol 500mg</v>
          </cell>
          <cell r="E670" t="str">
            <v>no. of capsules</v>
          </cell>
          <cell r="F670" t="str">
            <v>Shillings</v>
          </cell>
          <cell r="G670"/>
        </row>
        <row r="671">
          <cell r="A671">
            <v>2100</v>
          </cell>
          <cell r="B671" t="str">
            <v>KAMPALA PHARMACEUTICAL INDUSTRIES 1996 LIMITED</v>
          </cell>
          <cell r="C671" t="str">
            <v>Kamamoxy Capsules</v>
          </cell>
          <cell r="D671" t="str">
            <v>amoxicillin 250mg</v>
          </cell>
          <cell r="E671" t="str">
            <v>Carton, 10X10 packetes</v>
          </cell>
          <cell r="F671" t="str">
            <v>Shillings</v>
          </cell>
          <cell r="G671"/>
        </row>
        <row r="672">
          <cell r="A672">
            <v>2100</v>
          </cell>
          <cell r="B672" t="str">
            <v>RENE INDUSTRIES LIMITED</v>
          </cell>
          <cell r="C672" t="str">
            <v>Tablets</v>
          </cell>
          <cell r="D672" t="str">
            <v>Tablets (painex)</v>
          </cell>
          <cell r="E672" t="str">
            <v>Box (25 x 4 strip)</v>
          </cell>
          <cell r="F672" t="str">
            <v>Shillings</v>
          </cell>
          <cell r="G672"/>
        </row>
        <row r="673">
          <cell r="A673">
            <v>2100</v>
          </cell>
          <cell r="B673" t="str">
            <v>RENE INDUSTRIES LIMITED</v>
          </cell>
          <cell r="C673" t="str">
            <v>Capsules (Reneram)</v>
          </cell>
          <cell r="D673" t="str">
            <v>Capsules</v>
          </cell>
          <cell r="E673" t="str">
            <v>Box</v>
          </cell>
          <cell r="F673" t="str">
            <v>Shillings</v>
          </cell>
          <cell r="G673"/>
        </row>
        <row r="674">
          <cell r="A674">
            <v>2100</v>
          </cell>
          <cell r="B674" t="str">
            <v>MEDIPHARM INDUSTRIES E.A LIMITED</v>
          </cell>
          <cell r="C674" t="str">
            <v>Quinine Syrup</v>
          </cell>
          <cell r="D674" t="str">
            <v>Quinine Syrup</v>
          </cell>
          <cell r="E674" t="str">
            <v>100 Millilitres</v>
          </cell>
          <cell r="F674" t="str">
            <v>Shillings</v>
          </cell>
          <cell r="G674"/>
        </row>
        <row r="675">
          <cell r="A675">
            <v>2100</v>
          </cell>
          <cell r="B675" t="str">
            <v>MEDIPHARM INDUSTRIES E.A LIMITED</v>
          </cell>
          <cell r="C675" t="str">
            <v>Piritex Codaine</v>
          </cell>
          <cell r="D675" t="str">
            <v>Piritex Codaine</v>
          </cell>
          <cell r="E675" t="str">
            <v>100 Millilitres</v>
          </cell>
          <cell r="F675" t="str">
            <v>Shillings</v>
          </cell>
          <cell r="G675"/>
        </row>
        <row r="676">
          <cell r="A676">
            <v>2100</v>
          </cell>
          <cell r="B676" t="str">
            <v>MEDIPHARM INDUSTRIES E.A LIMITED</v>
          </cell>
          <cell r="C676" t="str">
            <v>Metrium-Suspension</v>
          </cell>
          <cell r="D676" t="str">
            <v>Metrium-Suspension</v>
          </cell>
          <cell r="E676" t="str">
            <v>100 Millilitres</v>
          </cell>
          <cell r="F676" t="str">
            <v>Shillings</v>
          </cell>
          <cell r="G676"/>
        </row>
        <row r="677">
          <cell r="A677">
            <v>2100</v>
          </cell>
          <cell r="B677" t="str">
            <v>MEDIPHARM INDUSTRIES E.A LIMITED</v>
          </cell>
          <cell r="C677" t="str">
            <v>Promazine</v>
          </cell>
          <cell r="D677" t="str">
            <v>Promazine</v>
          </cell>
          <cell r="E677" t="str">
            <v>Bottle of 60 Millilitres</v>
          </cell>
          <cell r="F677" t="str">
            <v>Shillings</v>
          </cell>
          <cell r="G677"/>
        </row>
        <row r="678">
          <cell r="A678">
            <v>2100</v>
          </cell>
          <cell r="B678" t="str">
            <v>MEDIPHARM INDUSTRIES E.A LIMITED</v>
          </cell>
          <cell r="C678" t="str">
            <v>Quinine Syrup</v>
          </cell>
          <cell r="D678" t="str">
            <v>Quinine Syrup</v>
          </cell>
          <cell r="E678" t="str">
            <v>Bottle</v>
          </cell>
          <cell r="F678" t="str">
            <v>Shillings</v>
          </cell>
          <cell r="G678"/>
        </row>
        <row r="679">
          <cell r="A679">
            <v>2100</v>
          </cell>
          <cell r="B679" t="str">
            <v>MEDIPHARM INDUSTRIES E.A LIMITED</v>
          </cell>
          <cell r="C679" t="str">
            <v>Piritex Junior</v>
          </cell>
          <cell r="D679" t="str">
            <v>Piritex Junior</v>
          </cell>
          <cell r="E679" t="str">
            <v>Bottle</v>
          </cell>
          <cell r="F679" t="str">
            <v>Shillings</v>
          </cell>
          <cell r="G679"/>
        </row>
        <row r="680">
          <cell r="A680">
            <v>2100</v>
          </cell>
          <cell r="B680" t="str">
            <v>MEDIPHARM INDUSTRIES E.A LIMITED</v>
          </cell>
          <cell r="C680" t="str">
            <v>Piritex Baby</v>
          </cell>
          <cell r="D680" t="str">
            <v>Piritex Baby</v>
          </cell>
          <cell r="E680" t="str">
            <v>100 Millilitres</v>
          </cell>
          <cell r="F680" t="str">
            <v>Shillings</v>
          </cell>
          <cell r="G680"/>
        </row>
        <row r="681">
          <cell r="A681">
            <v>2100</v>
          </cell>
          <cell r="B681" t="str">
            <v>MEDIPHARM INDUSTRIES E.A LIMITED</v>
          </cell>
          <cell r="C681" t="str">
            <v>Madol</v>
          </cell>
          <cell r="D681" t="str">
            <v>Madol Pain Killer</v>
          </cell>
          <cell r="E681" t="str">
            <v>Bottle</v>
          </cell>
          <cell r="F681" t="str">
            <v>Shillings</v>
          </cell>
          <cell r="G681"/>
        </row>
        <row r="682">
          <cell r="A682">
            <v>2100</v>
          </cell>
          <cell r="B682" t="str">
            <v>MEDIPHARM INDUSTRIES E.A LIMITED</v>
          </cell>
          <cell r="C682" t="str">
            <v>Dry Med</v>
          </cell>
          <cell r="D682" t="str">
            <v xml:space="preserve">Dry Med Anti Bacterial Injection </v>
          </cell>
          <cell r="E682" t="str">
            <v>Anti Bacterial Injection</v>
          </cell>
          <cell r="F682" t="str">
            <v>Shillings</v>
          </cell>
          <cell r="G682"/>
        </row>
        <row r="683">
          <cell r="A683"/>
          <cell r="B683"/>
          <cell r="C683"/>
          <cell r="D683"/>
          <cell r="E683"/>
          <cell r="F683"/>
          <cell r="G683"/>
        </row>
        <row r="684">
          <cell r="B684" t="str">
            <v>Manufacture of rubber and plastics products</v>
          </cell>
        </row>
        <row r="685">
          <cell r="B685" t="str">
            <v>Manufacture of plastics products</v>
          </cell>
          <cell r="D685"/>
          <cell r="F685" t="str">
            <v>Index</v>
          </cell>
          <cell r="G685">
            <v>26.9776838755276</v>
          </cell>
        </row>
        <row r="686">
          <cell r="A686" t="str">
            <v>2220</v>
          </cell>
          <cell r="B686" t="str">
            <v xml:space="preserve"> Manufacture of plastics products</v>
          </cell>
          <cell r="F686" t="str">
            <v>Geomean</v>
          </cell>
        </row>
        <row r="687">
          <cell r="A687" t="str">
            <v>2220</v>
          </cell>
          <cell r="B687" t="str">
            <v>LUUKA PLASTICS LIMITED</v>
          </cell>
          <cell r="C687" t="str">
            <v>Plain Pp Woven Bags</v>
          </cell>
          <cell r="D687" t="str">
            <v>Plain pp Bags 100kg</v>
          </cell>
          <cell r="E687" t="str">
            <v>Piece</v>
          </cell>
          <cell r="F687" t="str">
            <v>Shillings</v>
          </cell>
          <cell r="G687"/>
        </row>
        <row r="688">
          <cell r="A688" t="str">
            <v>2220</v>
          </cell>
          <cell r="B688" t="str">
            <v>LUUKA PLASTICS LIMITED</v>
          </cell>
          <cell r="C688" t="str">
            <v>Plain Pp Woven Bags</v>
          </cell>
          <cell r="D688" t="str">
            <v>Plain pp Bags 50kg</v>
          </cell>
          <cell r="E688" t="str">
            <v>Piece</v>
          </cell>
          <cell r="F688" t="str">
            <v>Shillings</v>
          </cell>
          <cell r="G688"/>
        </row>
        <row r="689">
          <cell r="A689" t="str">
            <v>2220</v>
          </cell>
          <cell r="B689" t="str">
            <v>LUUKA PLASTICS LIMITED</v>
          </cell>
          <cell r="C689" t="str">
            <v>PE Films Plain Bags/Rolls</v>
          </cell>
          <cell r="D689" t="str">
            <v>POLYTHN FILMS</v>
          </cell>
          <cell r="E689" t="str">
            <v>1 KG</v>
          </cell>
          <cell r="F689" t="str">
            <v>Shillings</v>
          </cell>
          <cell r="G689"/>
        </row>
        <row r="690">
          <cell r="A690" t="str">
            <v>2220</v>
          </cell>
          <cell r="B690" t="str">
            <v>LUUKA PLASTICS LIMITED</v>
          </cell>
          <cell r="C690" t="str">
            <v>PE Films Printed Bags</v>
          </cell>
          <cell r="D690" t="str">
            <v>PE Films Printed Bags</v>
          </cell>
          <cell r="E690" t="str">
            <v>1KG</v>
          </cell>
          <cell r="F690" t="str">
            <v>Shillings</v>
          </cell>
          <cell r="G690"/>
        </row>
        <row r="691">
          <cell r="A691" t="str">
            <v>2220</v>
          </cell>
          <cell r="B691" t="str">
            <v>MULTIPLE INDUSTRIES LIMITED</v>
          </cell>
          <cell r="C691" t="str">
            <v>Upvc Pipes (Pn16)</v>
          </cell>
          <cell r="D691" t="str">
            <v>pn16/75mm csj</v>
          </cell>
          <cell r="E691" t="str">
            <v>Piece</v>
          </cell>
          <cell r="F691" t="str">
            <v>Shillings</v>
          </cell>
          <cell r="G691"/>
        </row>
        <row r="692">
          <cell r="A692" t="str">
            <v>2220</v>
          </cell>
          <cell r="B692" t="str">
            <v>MULTIPLE INDUSTRIES LIMITED</v>
          </cell>
          <cell r="C692" t="str">
            <v>Simba Hdpe Pipes</v>
          </cell>
          <cell r="D692" t="str">
            <v>90mm(pn-10)</v>
          </cell>
          <cell r="E692" t="str">
            <v>Piece</v>
          </cell>
          <cell r="F692" t="str">
            <v>Shillings</v>
          </cell>
          <cell r="G692"/>
        </row>
        <row r="693">
          <cell r="A693" t="str">
            <v>2220</v>
          </cell>
          <cell r="B693" t="str">
            <v>MULTIPLE INDUSTRIES LIMITED</v>
          </cell>
          <cell r="C693" t="str">
            <v>Upvc Pipes (P6)</v>
          </cell>
          <cell r="D693" t="str">
            <v>p6 csj(110mm)</v>
          </cell>
          <cell r="E693" t="str">
            <v>Piece</v>
          </cell>
          <cell r="F693" t="str">
            <v>Shillings</v>
          </cell>
          <cell r="G693"/>
        </row>
        <row r="694">
          <cell r="A694" t="str">
            <v>2220</v>
          </cell>
          <cell r="B694" t="str">
            <v>MULTIPLE INDUSTRIES LIMITED</v>
          </cell>
          <cell r="C694" t="str">
            <v>Upvc Pipes (Pn4)</v>
          </cell>
          <cell r="D694" t="str">
            <v>pn4(160mm)</v>
          </cell>
          <cell r="E694" t="str">
            <v>Piece</v>
          </cell>
          <cell r="F694" t="str">
            <v>Shillings</v>
          </cell>
          <cell r="G694"/>
        </row>
        <row r="695">
          <cell r="A695" t="str">
            <v>2220</v>
          </cell>
          <cell r="B695" t="str">
            <v>GENTEX ENTERPRISES LIMITED</v>
          </cell>
          <cell r="C695" t="str">
            <v>Hdpe 160 millimetres , Plastic Grey</v>
          </cell>
          <cell r="D695" t="str">
            <v>160MM,PLASTIC,GREY</v>
          </cell>
          <cell r="E695" t="str">
            <v>A PIECE</v>
          </cell>
          <cell r="F695" t="str">
            <v>Shillings</v>
          </cell>
          <cell r="G695"/>
        </row>
        <row r="696">
          <cell r="A696" t="str">
            <v>2220</v>
          </cell>
          <cell r="B696" t="str">
            <v>GENTEX ENTERPRISES LIMITED</v>
          </cell>
          <cell r="C696" t="str">
            <v>Hdpe 20 millimetres , Plastic Grey</v>
          </cell>
          <cell r="D696" t="str">
            <v>20MM,PLASTIC,GREY</v>
          </cell>
          <cell r="E696" t="str">
            <v>A PIECE</v>
          </cell>
          <cell r="F696" t="str">
            <v>Shillings</v>
          </cell>
          <cell r="G696"/>
        </row>
        <row r="697">
          <cell r="A697" t="str">
            <v>2220</v>
          </cell>
          <cell r="B697" t="str">
            <v>GENTEX ENTERPRISES LIMITED</v>
          </cell>
          <cell r="C697" t="str">
            <v>Pvc Pipes 20 millimetres, Plastic Grey</v>
          </cell>
          <cell r="D697" t="str">
            <v>20MM,PLASTIC,GREY</v>
          </cell>
          <cell r="E697" t="str">
            <v>A PIECE</v>
          </cell>
          <cell r="F697" t="str">
            <v>Shillings</v>
          </cell>
          <cell r="G697"/>
        </row>
        <row r="698">
          <cell r="A698" t="str">
            <v>2220</v>
          </cell>
          <cell r="B698" t="str">
            <v>GENTEX ENTERPRISES LIMITED</v>
          </cell>
          <cell r="C698" t="str">
            <v>Pvc Pipes 400 millimetres, Plastic, Grey</v>
          </cell>
          <cell r="D698" t="str">
            <v>400MM,PLASTIC,GREY</v>
          </cell>
          <cell r="E698" t="str">
            <v>A PIECE</v>
          </cell>
          <cell r="F698" t="str">
            <v>Shillings</v>
          </cell>
          <cell r="G698"/>
        </row>
        <row r="699">
          <cell r="A699" t="str">
            <v>2220</v>
          </cell>
          <cell r="B699" t="str">
            <v>AFRICA POLYSACK INDUSTRIES LIMITED</v>
          </cell>
          <cell r="C699" t="str">
            <v>Polypropylene bags</v>
          </cell>
          <cell r="D699" t="str">
            <v>sugar bags</v>
          </cell>
          <cell r="E699" t="str">
            <v>Piece</v>
          </cell>
          <cell r="F699" t="str">
            <v>Shillings</v>
          </cell>
          <cell r="G699"/>
        </row>
        <row r="700">
          <cell r="A700" t="str">
            <v>2220</v>
          </cell>
          <cell r="B700" t="str">
            <v>AFRICA POLYSACK INDUSTRIES LIMITED</v>
          </cell>
          <cell r="C700" t="str">
            <v>Polypropylene bags</v>
          </cell>
          <cell r="D700" t="str">
            <v>net bags</v>
          </cell>
          <cell r="E700" t="str">
            <v>per kg</v>
          </cell>
          <cell r="F700" t="str">
            <v>Shillings</v>
          </cell>
          <cell r="G700"/>
        </row>
        <row r="701">
          <cell r="A701" t="str">
            <v>2220</v>
          </cell>
          <cell r="B701" t="str">
            <v>AFRICA POLYSACK INDUSTRIES LIMITED</v>
          </cell>
          <cell r="C701" t="str">
            <v>Polypropylene bags</v>
          </cell>
          <cell r="D701" t="str">
            <v>shopping bags</v>
          </cell>
          <cell r="E701" t="str">
            <v>per kg</v>
          </cell>
          <cell r="F701" t="str">
            <v>Shillings</v>
          </cell>
          <cell r="G701"/>
        </row>
        <row r="702">
          <cell r="A702" t="str">
            <v>2220</v>
          </cell>
          <cell r="B702" t="str">
            <v>AFRICA POLYSACK INDUSTRIES LIMITED</v>
          </cell>
          <cell r="C702" t="str">
            <v>Polypropylene bags</v>
          </cell>
          <cell r="D702" t="str">
            <v>green bags</v>
          </cell>
          <cell r="E702" t="str">
            <v>per kg</v>
          </cell>
          <cell r="F702" t="str">
            <v>Shillings</v>
          </cell>
          <cell r="G702"/>
        </row>
        <row r="703">
          <cell r="A703" t="str">
            <v>2220</v>
          </cell>
          <cell r="B703" t="str">
            <v>AFRICA POLYSACK INDUSTRIES LIMITED</v>
          </cell>
          <cell r="C703" t="str">
            <v>Ropes</v>
          </cell>
          <cell r="D703" t="str">
            <v>ropes</v>
          </cell>
          <cell r="E703" t="str">
            <v>per kg</v>
          </cell>
          <cell r="F703" t="str">
            <v>Shillings</v>
          </cell>
          <cell r="G703"/>
        </row>
        <row r="704">
          <cell r="A704" t="str">
            <v>2220</v>
          </cell>
          <cell r="B704" t="str">
            <v>AFRICA POLYSACK INDUSTRIES LIMITED</v>
          </cell>
          <cell r="C704" t="str">
            <v>thread</v>
          </cell>
          <cell r="D704" t="str">
            <v>thread</v>
          </cell>
          <cell r="E704" t="str">
            <v>per kg</v>
          </cell>
          <cell r="F704" t="str">
            <v>Shillings</v>
          </cell>
          <cell r="G704"/>
        </row>
        <row r="705">
          <cell r="A705" t="str">
            <v>2220</v>
          </cell>
          <cell r="B705" t="str">
            <v>AFRICA POLYSACK INDUSTRIES LIMITED</v>
          </cell>
          <cell r="C705" t="str">
            <v>mattress covers</v>
          </cell>
          <cell r="D705" t="str">
            <v xml:space="preserve">matress cover </v>
          </cell>
          <cell r="E705" t="str">
            <v>per kg</v>
          </cell>
          <cell r="F705" t="str">
            <v>Shillings</v>
          </cell>
          <cell r="G705"/>
        </row>
        <row r="706">
          <cell r="A706" t="str">
            <v>2220</v>
          </cell>
          <cell r="B706" t="str">
            <v>HENGCHANG PLASTIC (U) COMPANY LIMITED</v>
          </cell>
          <cell r="C706" t="str">
            <v>BASIN 45cm</v>
          </cell>
          <cell r="D706" t="str">
            <v>Liscons-45cm wide</v>
          </cell>
          <cell r="E706" t="str">
            <v>Adozen(12 pieces in package)</v>
          </cell>
          <cell r="F706" t="str">
            <v>Shillings</v>
          </cell>
          <cell r="G706"/>
        </row>
        <row r="707">
          <cell r="A707" t="str">
            <v>2220</v>
          </cell>
          <cell r="B707" t="str">
            <v>HENGCHANG PLASTIC (U) COMPANY LIMITED</v>
          </cell>
          <cell r="C707" t="str">
            <v>BASIN 50cm</v>
          </cell>
          <cell r="D707" t="str">
            <v>50cm wide</v>
          </cell>
          <cell r="E707" t="str">
            <v>Adozen(12 pieces in package)</v>
          </cell>
          <cell r="F707" t="str">
            <v>Shillings</v>
          </cell>
          <cell r="G707"/>
        </row>
        <row r="708">
          <cell r="A708" t="str">
            <v>2220</v>
          </cell>
          <cell r="B708" t="str">
            <v>HENGCHANG PLASTIC (U) COMPANY LIMITED</v>
          </cell>
          <cell r="C708" t="str">
            <v>PET PREFORM 35 gms</v>
          </cell>
          <cell r="D708" t="str">
            <v>35grams plastic tube</v>
          </cell>
          <cell r="E708" t="str">
            <v>piece</v>
          </cell>
          <cell r="F708" t="str">
            <v>Shillings</v>
          </cell>
          <cell r="G708"/>
        </row>
        <row r="709">
          <cell r="A709" t="str">
            <v>2220</v>
          </cell>
          <cell r="B709" t="str">
            <v>HENGCHANG PLASTIC (U) COMPANY LIMITED</v>
          </cell>
          <cell r="C709" t="str">
            <v>PET PREFORM 18 gms</v>
          </cell>
          <cell r="D709" t="str">
            <v>18grams plastic tube</v>
          </cell>
          <cell r="E709" t="str">
            <v>Piece</v>
          </cell>
          <cell r="F709" t="str">
            <v>Shillings</v>
          </cell>
          <cell r="G709"/>
        </row>
        <row r="710">
          <cell r="A710" t="str">
            <v>2220</v>
          </cell>
          <cell r="B710" t="str">
            <v>HENGCHANG PLASTIC (U) COMPANY LIMITED</v>
          </cell>
          <cell r="C710" t="str">
            <v>PET PREFORM 12 gms</v>
          </cell>
          <cell r="D710" t="str">
            <v>12grams plastic tube</v>
          </cell>
          <cell r="E710" t="str">
            <v>Piece</v>
          </cell>
          <cell r="F710" t="str">
            <v>Shillings</v>
          </cell>
          <cell r="G710"/>
        </row>
        <row r="711">
          <cell r="A711" t="str">
            <v>2220</v>
          </cell>
          <cell r="B711" t="str">
            <v>HENGCHANG PLASTIC (U) COMPANY LIMITED</v>
          </cell>
          <cell r="C711" t="str">
            <v>CAP</v>
          </cell>
          <cell r="D711" t="str">
            <v>CAP HIDPEPP</v>
          </cell>
          <cell r="E711" t="str">
            <v>Sack</v>
          </cell>
          <cell r="F711" t="str">
            <v>Shillings</v>
          </cell>
          <cell r="G711"/>
        </row>
        <row r="712">
          <cell r="A712" t="str">
            <v>2220</v>
          </cell>
          <cell r="B712" t="str">
            <v>HENGCHANG PLASTIC (U) COMPANY LIMITED</v>
          </cell>
          <cell r="C712" t="str">
            <v>CUP 250ml</v>
          </cell>
          <cell r="D712" t="str">
            <v>Plastic Cup of 250mls</v>
          </cell>
          <cell r="E712" t="str">
            <v>Piece</v>
          </cell>
          <cell r="F712" t="str">
            <v>Shillings</v>
          </cell>
          <cell r="G712"/>
        </row>
        <row r="713">
          <cell r="A713" t="str">
            <v>2220</v>
          </cell>
          <cell r="B713" t="str">
            <v>HENGCHANG PLASTIC (U) COMPANY LIMITED</v>
          </cell>
          <cell r="C713" t="str">
            <v>PET Bottle 500 ml</v>
          </cell>
          <cell r="D713" t="str">
            <v>500ml PET Bottle</v>
          </cell>
          <cell r="E713" t="str">
            <v>Piece</v>
          </cell>
          <cell r="F713" t="str">
            <v>Shillings</v>
          </cell>
          <cell r="G713"/>
        </row>
        <row r="714">
          <cell r="A714" t="str">
            <v>2220</v>
          </cell>
          <cell r="B714" t="str">
            <v>HENGCHANG PLASTIC (U) COMPANY LIMITED</v>
          </cell>
          <cell r="C714" t="str">
            <v>Plastic Bottle300 ml</v>
          </cell>
          <cell r="D714" t="str">
            <v>300ml Plastic Bottle</v>
          </cell>
          <cell r="E714" t="str">
            <v>Piece</v>
          </cell>
          <cell r="F714" t="str">
            <v>Shillings</v>
          </cell>
          <cell r="G714"/>
        </row>
        <row r="715">
          <cell r="A715" t="str">
            <v>2220</v>
          </cell>
          <cell r="B715" t="str">
            <v>GENERAL MOULDINGS LIMITED</v>
          </cell>
          <cell r="C715" t="str">
            <v>Jerrican</v>
          </cell>
          <cell r="D715" t="str">
            <v>20lt Jerrican</v>
          </cell>
          <cell r="E715" t="str">
            <v>A PIECE</v>
          </cell>
          <cell r="F715" t="str">
            <v>Shillings</v>
          </cell>
          <cell r="G715"/>
        </row>
        <row r="716">
          <cell r="A716" t="str">
            <v>2220</v>
          </cell>
          <cell r="B716" t="str">
            <v>GENERAL MOULDINGS LIMITED</v>
          </cell>
          <cell r="C716" t="str">
            <v>Jerrican</v>
          </cell>
          <cell r="D716" t="str">
            <v>5lt Jerrican</v>
          </cell>
          <cell r="E716" t="str">
            <v>A PIECE</v>
          </cell>
          <cell r="F716" t="str">
            <v>Shillings</v>
          </cell>
          <cell r="G716"/>
        </row>
        <row r="717">
          <cell r="A717" t="str">
            <v>2220</v>
          </cell>
          <cell r="B717" t="str">
            <v>GENERAL MOULDINGS LIMITED</v>
          </cell>
          <cell r="C717" t="str">
            <v>Jerrican</v>
          </cell>
          <cell r="D717" t="str">
            <v>10lt Jerrican</v>
          </cell>
          <cell r="E717" t="str">
            <v>A PIECE</v>
          </cell>
          <cell r="F717" t="str">
            <v>Shillings</v>
          </cell>
          <cell r="G717"/>
        </row>
        <row r="718">
          <cell r="A718" t="str">
            <v>2220</v>
          </cell>
          <cell r="B718" t="str">
            <v>AFROPLAST ENTERPRISES LIMITED</v>
          </cell>
          <cell r="C718" t="str">
            <v>3 litre Bottle (Bottles)</v>
          </cell>
          <cell r="D718" t="str">
            <v>3 ltrs</v>
          </cell>
          <cell r="E718" t="str">
            <v>1 bottle</v>
          </cell>
          <cell r="F718" t="str">
            <v>Shillings</v>
          </cell>
          <cell r="G718"/>
        </row>
        <row r="719">
          <cell r="A719" t="str">
            <v>2220</v>
          </cell>
          <cell r="B719" t="str">
            <v>AFROPLAST ENTERPRISES LIMITED</v>
          </cell>
          <cell r="C719" t="str">
            <v>bottle 1 ltr</v>
          </cell>
          <cell r="D719" t="str">
            <v>1 LTR</v>
          </cell>
          <cell r="E719" t="str">
            <v>1 bottle</v>
          </cell>
          <cell r="F719" t="str">
            <v>Shillings</v>
          </cell>
          <cell r="G719"/>
        </row>
        <row r="720">
          <cell r="A720" t="str">
            <v>2220</v>
          </cell>
          <cell r="B720" t="str">
            <v>AFROPLAST ENTERPRISES LIMITED</v>
          </cell>
          <cell r="C720" t="str">
            <v>Bottle, 2 litre</v>
          </cell>
          <cell r="D720" t="str">
            <v>2ltrs</v>
          </cell>
          <cell r="E720" t="str">
            <v>1 bottle</v>
          </cell>
          <cell r="F720" t="str">
            <v>Shillings</v>
          </cell>
          <cell r="G720"/>
        </row>
        <row r="721">
          <cell r="A721" t="str">
            <v>2220</v>
          </cell>
          <cell r="B721" t="str">
            <v>AFROPLAST ENTERPRISES LIMITED</v>
          </cell>
          <cell r="C721" t="str">
            <v>Jerrican 3 litre</v>
          </cell>
          <cell r="D721" t="str">
            <v>3ltrs</v>
          </cell>
          <cell r="E721" t="str">
            <v>1jerrycan</v>
          </cell>
          <cell r="F721" t="str">
            <v>Shillings</v>
          </cell>
          <cell r="G721"/>
        </row>
        <row r="722">
          <cell r="A722" t="str">
            <v>2220</v>
          </cell>
          <cell r="B722" t="str">
            <v>AFROPLAST ENTERPRISES LIMITED</v>
          </cell>
          <cell r="C722" t="str">
            <v>Jerrican, 10 litre</v>
          </cell>
          <cell r="D722" t="str">
            <v>10 ltrs</v>
          </cell>
          <cell r="E722" t="str">
            <v>1 jerrycan</v>
          </cell>
          <cell r="F722" t="str">
            <v>Shillings</v>
          </cell>
          <cell r="G722"/>
        </row>
        <row r="723">
          <cell r="A723" t="str">
            <v>2220</v>
          </cell>
          <cell r="B723" t="str">
            <v>AFROPLAST ENTERPRISES LIMITED</v>
          </cell>
          <cell r="C723" t="str">
            <v>Jerrican, 5 litre</v>
          </cell>
          <cell r="D723" t="str">
            <v>5ltrs</v>
          </cell>
          <cell r="E723" t="str">
            <v>1 jerrycan</v>
          </cell>
          <cell r="F723" t="str">
            <v>Shillings</v>
          </cell>
          <cell r="G723"/>
        </row>
        <row r="724">
          <cell r="A724" t="str">
            <v>2220</v>
          </cell>
          <cell r="B724" t="str">
            <v>AFROPLAST ENTERPRISES LIMITED</v>
          </cell>
          <cell r="C724" t="str">
            <v>jerricans (20 ltrs)</v>
          </cell>
          <cell r="D724" t="str">
            <v>20 ltrs</v>
          </cell>
          <cell r="E724" t="str">
            <v>1 jerrycan</v>
          </cell>
          <cell r="F724" t="str">
            <v>Shillings</v>
          </cell>
          <cell r="G724"/>
        </row>
        <row r="725">
          <cell r="A725" t="str">
            <v>2220</v>
          </cell>
          <cell r="B725" t="str">
            <v>AFROPLAST ENTERPRISES LIMITED</v>
          </cell>
          <cell r="C725" t="str">
            <v>Jugs, 100 grammes</v>
          </cell>
          <cell r="D725" t="str">
            <v>100 grammes</v>
          </cell>
          <cell r="E725" t="str">
            <v>1 jug</v>
          </cell>
          <cell r="F725" t="str">
            <v>Shillings</v>
          </cell>
          <cell r="G725"/>
        </row>
        <row r="726">
          <cell r="A726" t="str">
            <v>2220</v>
          </cell>
          <cell r="B726" t="str">
            <v>AFROPLAST ENTERPRISES LIMITED</v>
          </cell>
          <cell r="C726" t="str">
            <v>Jugs, 250 grammes</v>
          </cell>
          <cell r="D726" t="str">
            <v>250 grammes</v>
          </cell>
          <cell r="E726" t="str">
            <v>1 jug</v>
          </cell>
          <cell r="F726" t="str">
            <v>Shillings</v>
          </cell>
          <cell r="G726"/>
        </row>
        <row r="727">
          <cell r="A727" t="str">
            <v>2220</v>
          </cell>
          <cell r="B727" t="str">
            <v>PIPELINE DESIGN AND FOAM INDUSTRIES LIMITED</v>
          </cell>
          <cell r="C727" t="str">
            <v>Plastic bags "buvera"</v>
          </cell>
          <cell r="D727" t="str">
            <v>Carrier Bag</v>
          </cell>
          <cell r="E727" t="str">
            <v>a bundle of 50 packets</v>
          </cell>
          <cell r="F727" t="str">
            <v>Shillings</v>
          </cell>
          <cell r="G727"/>
        </row>
        <row r="728">
          <cell r="A728" t="str">
            <v>2220</v>
          </cell>
          <cell r="B728" t="str">
            <v>PIPELINE DESIGN AND FOAM INDUSTRIES LIMITED</v>
          </cell>
          <cell r="C728" t="str">
            <v>Plastic bags "buvera"</v>
          </cell>
          <cell r="D728" t="str">
            <v>Flat bag</v>
          </cell>
          <cell r="E728" t="str">
            <v>a bundle of 1000 pcs</v>
          </cell>
          <cell r="F728" t="str">
            <v>Shillings</v>
          </cell>
          <cell r="G728"/>
        </row>
        <row r="729">
          <cell r="A729" t="str">
            <v>2220</v>
          </cell>
          <cell r="B729" t="str">
            <v>PIPELINE DESIGN AND FOAM INDUSTRIES LIMITED</v>
          </cell>
          <cell r="C729" t="str">
            <v>Plastic bags "buvera"</v>
          </cell>
          <cell r="D729" t="str">
            <v>Clear flat bag</v>
          </cell>
          <cell r="E729" t="str">
            <v>a bundle of 20000 pcs</v>
          </cell>
          <cell r="F729" t="str">
            <v>Shillings</v>
          </cell>
          <cell r="G729"/>
        </row>
        <row r="730">
          <cell r="A730" t="str">
            <v>2220</v>
          </cell>
          <cell r="B730" t="str">
            <v>CRESTANKS LIMITED</v>
          </cell>
          <cell r="C730" t="str">
            <v>Mobilet Im (Sanitation Product)</v>
          </cell>
          <cell r="D730" t="str">
            <v>mobilet-1M (regular)</v>
          </cell>
          <cell r="E730" t="str">
            <v>piece</v>
          </cell>
          <cell r="F730" t="str">
            <v>Shillings</v>
          </cell>
          <cell r="G730"/>
        </row>
        <row r="731">
          <cell r="A731" t="str">
            <v>2220</v>
          </cell>
          <cell r="B731" t="str">
            <v>CRESTANKS LIMITED</v>
          </cell>
          <cell r="C731" t="str">
            <v>septic tank (2500 ltrs)</v>
          </cell>
          <cell r="D731" t="str">
            <v>2500 ltrs</v>
          </cell>
          <cell r="E731" t="str">
            <v>piece</v>
          </cell>
          <cell r="F731" t="str">
            <v>Shillings</v>
          </cell>
          <cell r="G731"/>
        </row>
        <row r="732">
          <cell r="A732" t="str">
            <v>2220</v>
          </cell>
          <cell r="B732" t="str">
            <v>CRESTANKS LIMITED</v>
          </cell>
          <cell r="C732" t="str">
            <v>septic tank (4300 ltrs)</v>
          </cell>
          <cell r="D732" t="str">
            <v>4300ltrs</v>
          </cell>
          <cell r="E732" t="str">
            <v>piece</v>
          </cell>
          <cell r="F732" t="str">
            <v>Shillings</v>
          </cell>
          <cell r="G732"/>
        </row>
        <row r="733">
          <cell r="A733" t="str">
            <v>2220</v>
          </cell>
          <cell r="B733" t="str">
            <v>CRESTANKS LIMITED</v>
          </cell>
          <cell r="C733" t="str">
            <v>Water Tank (10000 litre)</v>
          </cell>
          <cell r="D733" t="str">
            <v>10,000 ltrs</v>
          </cell>
          <cell r="E733" t="str">
            <v>piece</v>
          </cell>
          <cell r="F733" t="str">
            <v>Shillings</v>
          </cell>
          <cell r="G733"/>
        </row>
        <row r="734">
          <cell r="A734" t="str">
            <v>2220</v>
          </cell>
          <cell r="B734" t="str">
            <v>CRESTANKS LIMITED</v>
          </cell>
          <cell r="C734" t="str">
            <v>Water Tank (5000 litre)</v>
          </cell>
          <cell r="D734" t="str">
            <v>5000Ltrs</v>
          </cell>
          <cell r="E734" t="str">
            <v>piece</v>
          </cell>
          <cell r="F734" t="str">
            <v>Shillings</v>
          </cell>
          <cell r="G734"/>
        </row>
        <row r="735">
          <cell r="A735" t="str">
            <v>2220</v>
          </cell>
          <cell r="B735" t="str">
            <v>CRESTANKS LIMITED</v>
          </cell>
          <cell r="C735" t="str">
            <v>2000 Litres Stackable Crates (Bunka Tanks)</v>
          </cell>
          <cell r="D735" t="str">
            <v>2000ltrs</v>
          </cell>
          <cell r="E735" t="str">
            <v>piece</v>
          </cell>
          <cell r="F735" t="str">
            <v>Shillings</v>
          </cell>
          <cell r="G735"/>
        </row>
        <row r="736">
          <cell r="A736" t="str">
            <v>2220</v>
          </cell>
          <cell r="B736" t="str">
            <v>CRESTANKS LIMITED</v>
          </cell>
          <cell r="C736" t="str">
            <v>Water Tank (1000 litre)</v>
          </cell>
          <cell r="D736" t="str">
            <v>1000ltr</v>
          </cell>
          <cell r="E736" t="str">
            <v>piece</v>
          </cell>
          <cell r="F736" t="str">
            <v>Shillings</v>
          </cell>
          <cell r="G736"/>
        </row>
        <row r="737">
          <cell r="A737" t="str">
            <v>2220</v>
          </cell>
          <cell r="B737" t="str">
            <v>CRESTANKS LIMITED</v>
          </cell>
          <cell r="C737" t="str">
            <v>Water Tank (2000 litre)</v>
          </cell>
          <cell r="D737" t="str">
            <v>2000ltr</v>
          </cell>
          <cell r="E737" t="str">
            <v>piece</v>
          </cell>
          <cell r="F737" t="str">
            <v>Shillings</v>
          </cell>
          <cell r="G737"/>
        </row>
        <row r="738">
          <cell r="A738" t="str">
            <v>2220</v>
          </cell>
          <cell r="B738" t="str">
            <v>CRESTANKS LIMITED</v>
          </cell>
          <cell r="C738" t="str">
            <v>wonderloo (std)</v>
          </cell>
          <cell r="D738" t="str">
            <v>wonderloo (std)</v>
          </cell>
          <cell r="E738" t="str">
            <v>piece</v>
          </cell>
          <cell r="F738" t="str">
            <v>Shillings</v>
          </cell>
          <cell r="G738"/>
        </row>
        <row r="739">
          <cell r="A739" t="str">
            <v>2220</v>
          </cell>
          <cell r="B739" t="str">
            <v>TIC PLASTICS</v>
          </cell>
          <cell r="C739" t="str">
            <v xml:space="preserve">Polythen Plastic Sheeting </v>
          </cell>
          <cell r="D739" t="str">
            <v>Polythen Rolls of 32inc.</v>
          </cell>
          <cell r="E739" t="str">
            <v>40 kg</v>
          </cell>
          <cell r="F739" t="str">
            <v>Shillings</v>
          </cell>
          <cell r="G739"/>
        </row>
        <row r="740">
          <cell r="A740" t="str">
            <v>2220</v>
          </cell>
          <cell r="B740" t="str">
            <v>TIC PLASTICS</v>
          </cell>
          <cell r="C740" t="str">
            <v>Polythene Tubing</v>
          </cell>
          <cell r="D740" t="str">
            <v>Tubing of 4inc.</v>
          </cell>
          <cell r="E740" t="str">
            <v>12 kg</v>
          </cell>
          <cell r="F740" t="str">
            <v>Shillings</v>
          </cell>
          <cell r="G740"/>
        </row>
        <row r="741">
          <cell r="A741" t="str">
            <v>2220</v>
          </cell>
          <cell r="B741" t="str">
            <v>TIC PLASTICS</v>
          </cell>
          <cell r="C741" t="str">
            <v>Polythene Tubing</v>
          </cell>
          <cell r="D741" t="str">
            <v>Tubing of 5inc.</v>
          </cell>
          <cell r="E741" t="str">
            <v>12 kg</v>
          </cell>
          <cell r="F741" t="str">
            <v>Shillings</v>
          </cell>
          <cell r="G741"/>
        </row>
        <row r="742">
          <cell r="A742" t="str">
            <v>2220</v>
          </cell>
          <cell r="B742" t="str">
            <v>LEEKO (UGANDA) LIMITED.</v>
          </cell>
          <cell r="C742" t="str">
            <v>Tooth brush</v>
          </cell>
          <cell r="D742" t="str">
            <v>Jumbo</v>
          </cell>
          <cell r="E742" t="str">
            <v>box of 24 dozens</v>
          </cell>
          <cell r="F742" t="str">
            <v>Shillings</v>
          </cell>
          <cell r="G742"/>
        </row>
        <row r="743">
          <cell r="A743" t="str">
            <v>2220</v>
          </cell>
          <cell r="B743" t="str">
            <v>SIM PLASTICS</v>
          </cell>
          <cell r="C743" t="str">
            <v>Plastic container (Baby Junior)</v>
          </cell>
          <cell r="D743" t="str">
            <v xml:space="preserve">200gms Plastic container </v>
          </cell>
          <cell r="E743" t="str">
            <v>piece</v>
          </cell>
          <cell r="F743" t="str">
            <v>Shillings</v>
          </cell>
          <cell r="G743"/>
        </row>
        <row r="744">
          <cell r="A744" t="str">
            <v>2220</v>
          </cell>
          <cell r="B744" t="str">
            <v>SIM PLASTICS</v>
          </cell>
          <cell r="C744" t="str">
            <v>Plastic container (Baby Junior)</v>
          </cell>
          <cell r="D744" t="str">
            <v xml:space="preserve">200gms Plastic container (Baby Junior) (cup &amp; cover) </v>
          </cell>
          <cell r="E744" t="str">
            <v>piece</v>
          </cell>
          <cell r="F744" t="str">
            <v>Shillings</v>
          </cell>
          <cell r="G744"/>
        </row>
        <row r="745">
          <cell r="A745" t="str">
            <v>2220</v>
          </cell>
          <cell r="B745" t="str">
            <v>SIM PLASTICS</v>
          </cell>
          <cell r="C745" t="str">
            <v>Plastic container (Herbal Jelly)</v>
          </cell>
          <cell r="D745" t="str">
            <v>425 gms with cup</v>
          </cell>
          <cell r="E745" t="str">
            <v>piece</v>
          </cell>
          <cell r="F745" t="str">
            <v>Shillings</v>
          </cell>
          <cell r="G745"/>
        </row>
        <row r="746">
          <cell r="A746" t="str">
            <v>2220</v>
          </cell>
          <cell r="B746" t="str">
            <v>SIM PLASTICS</v>
          </cell>
          <cell r="C746" t="str">
            <v>Plastic container (Herbal Jelly)</v>
          </cell>
          <cell r="D746" t="str">
            <v>200 gms with cup</v>
          </cell>
          <cell r="E746" t="str">
            <v>piece</v>
          </cell>
          <cell r="F746" t="str">
            <v>Shillings</v>
          </cell>
          <cell r="G746"/>
        </row>
        <row r="747">
          <cell r="A747" t="str">
            <v>2220</v>
          </cell>
          <cell r="B747" t="str">
            <v>SMILEPLAST LIMITED</v>
          </cell>
          <cell r="C747" t="str">
            <v>TANK</v>
          </cell>
          <cell r="D747" t="str">
            <v>250 LITRES</v>
          </cell>
          <cell r="E747" t="str">
            <v>Piece</v>
          </cell>
          <cell r="F747" t="str">
            <v>Shillings</v>
          </cell>
          <cell r="G747"/>
        </row>
        <row r="748">
          <cell r="A748" t="str">
            <v>2220</v>
          </cell>
          <cell r="B748" t="str">
            <v>SMILEPLAST LIMITED</v>
          </cell>
          <cell r="C748" t="str">
            <v>TANK</v>
          </cell>
          <cell r="D748" t="str">
            <v>500 LITRES</v>
          </cell>
          <cell r="E748" t="str">
            <v>Piece</v>
          </cell>
          <cell r="F748" t="str">
            <v>Shillings</v>
          </cell>
          <cell r="G748"/>
        </row>
        <row r="749">
          <cell r="A749" t="str">
            <v>2220</v>
          </cell>
          <cell r="B749" t="str">
            <v>SMILEPLAST LIMITED</v>
          </cell>
          <cell r="C749" t="str">
            <v>TANK</v>
          </cell>
          <cell r="D749" t="str">
            <v>2500 LITRES</v>
          </cell>
          <cell r="E749" t="str">
            <v>Piece</v>
          </cell>
          <cell r="F749" t="str">
            <v>Shillings</v>
          </cell>
          <cell r="G749"/>
        </row>
        <row r="750">
          <cell r="A750" t="str">
            <v>2220</v>
          </cell>
          <cell r="B750" t="str">
            <v>SMILEPLAST LIMITED</v>
          </cell>
          <cell r="C750" t="str">
            <v>TANK</v>
          </cell>
          <cell r="D750" t="str">
            <v>8000 LITRES</v>
          </cell>
          <cell r="E750" t="str">
            <v>Piece</v>
          </cell>
          <cell r="F750" t="str">
            <v>Shillings</v>
          </cell>
          <cell r="G750"/>
        </row>
        <row r="751">
          <cell r="A751" t="str">
            <v>2220</v>
          </cell>
          <cell r="B751" t="str">
            <v>SMILEPLAST LIMITED</v>
          </cell>
          <cell r="C751" t="str">
            <v>CONDUIT PIPES</v>
          </cell>
          <cell r="D751" t="str">
            <v>20mm light (4meters)</v>
          </cell>
          <cell r="E751" t="str">
            <v>Piece</v>
          </cell>
          <cell r="F751" t="str">
            <v>Shillings</v>
          </cell>
          <cell r="G751"/>
        </row>
        <row r="752">
          <cell r="A752" t="str">
            <v>2220</v>
          </cell>
          <cell r="B752" t="str">
            <v>SMILEPLAST LIMITED</v>
          </cell>
          <cell r="C752" t="str">
            <v>CONDUIT PIPES</v>
          </cell>
          <cell r="D752" t="str">
            <v>25mm light (4meters)</v>
          </cell>
          <cell r="E752" t="str">
            <v>Piece</v>
          </cell>
          <cell r="F752" t="str">
            <v>Shillings</v>
          </cell>
          <cell r="G752"/>
        </row>
        <row r="753">
          <cell r="A753" t="str">
            <v>2220</v>
          </cell>
          <cell r="B753" t="str">
            <v>SMILEPLAST LIMITED</v>
          </cell>
          <cell r="C753" t="str">
            <v>CONDUIT PIPES</v>
          </cell>
          <cell r="D753" t="str">
            <v>20mm heavy (3 meters)</v>
          </cell>
          <cell r="E753" t="str">
            <v>Piece</v>
          </cell>
          <cell r="F753" t="str">
            <v>Shillings</v>
          </cell>
          <cell r="G753"/>
        </row>
        <row r="754">
          <cell r="A754" t="str">
            <v>2220</v>
          </cell>
          <cell r="B754" t="str">
            <v>SMILEPLAST LIMITED</v>
          </cell>
          <cell r="C754" t="str">
            <v>CONDUIT PIPES</v>
          </cell>
          <cell r="D754" t="str">
            <v>50mm heavy (3 meters)</v>
          </cell>
          <cell r="E754" t="str">
            <v>Piece</v>
          </cell>
          <cell r="F754" t="str">
            <v>Shillings</v>
          </cell>
          <cell r="G754"/>
        </row>
        <row r="755">
          <cell r="A755" t="str">
            <v>2220</v>
          </cell>
          <cell r="B755" t="str">
            <v>SMILEPLAST LIMITED</v>
          </cell>
          <cell r="C755" t="str">
            <v>GI PLATES</v>
          </cell>
          <cell r="D755" t="str">
            <v>1.2MM</v>
          </cell>
          <cell r="E755" t="str">
            <v>Piece</v>
          </cell>
          <cell r="F755" t="str">
            <v>Shillings</v>
          </cell>
          <cell r="G755"/>
        </row>
        <row r="756">
          <cell r="A756" t="str">
            <v>2220</v>
          </cell>
          <cell r="B756" t="str">
            <v>SMILEPLAST LIMITED</v>
          </cell>
          <cell r="C756" t="str">
            <v>GI PLATES</v>
          </cell>
          <cell r="D756" t="str">
            <v>1.5MM</v>
          </cell>
          <cell r="E756" t="str">
            <v>Piece</v>
          </cell>
          <cell r="F756" t="str">
            <v>Shillings</v>
          </cell>
          <cell r="G756"/>
        </row>
        <row r="757">
          <cell r="A757" t="str">
            <v>2220</v>
          </cell>
          <cell r="B757" t="str">
            <v>SMILEPLAST LIMITED</v>
          </cell>
          <cell r="C757" t="str">
            <v>GI PLATES</v>
          </cell>
          <cell r="D757" t="str">
            <v>2MM</v>
          </cell>
          <cell r="E757" t="str">
            <v>Piece</v>
          </cell>
          <cell r="F757" t="str">
            <v>Shillings</v>
          </cell>
          <cell r="G757"/>
        </row>
        <row r="758">
          <cell r="A758" t="str">
            <v>2220</v>
          </cell>
          <cell r="B758" t="str">
            <v>SMILEPLAST LIMITED</v>
          </cell>
          <cell r="C758" t="str">
            <v>SEAMLESS PIPES</v>
          </cell>
          <cell r="D758" t="str">
            <v>1 INCH</v>
          </cell>
          <cell r="E758" t="str">
            <v>Piece</v>
          </cell>
          <cell r="F758" t="str">
            <v>Shillings</v>
          </cell>
          <cell r="G758"/>
        </row>
        <row r="759">
          <cell r="A759" t="str">
            <v>2220</v>
          </cell>
          <cell r="B759" t="str">
            <v>SMILEPLAST LIMITED</v>
          </cell>
          <cell r="C759" t="str">
            <v>SEAMLESS PIPES</v>
          </cell>
          <cell r="D759" t="str">
            <v>1 1/4 INCHES</v>
          </cell>
          <cell r="E759" t="str">
            <v>Piece</v>
          </cell>
          <cell r="F759" t="str">
            <v>Shillings</v>
          </cell>
          <cell r="G759"/>
        </row>
        <row r="760">
          <cell r="A760" t="str">
            <v>2220</v>
          </cell>
          <cell r="B760" t="str">
            <v>SMILEPLAST LIMITED</v>
          </cell>
          <cell r="C760" t="str">
            <v>SEAMLESS PIPES</v>
          </cell>
          <cell r="D760" t="str">
            <v>2 INCHES</v>
          </cell>
          <cell r="E760" t="str">
            <v>Piece</v>
          </cell>
          <cell r="F760" t="str">
            <v>Shillings</v>
          </cell>
          <cell r="G760"/>
        </row>
        <row r="761">
          <cell r="A761" t="str">
            <v>2220</v>
          </cell>
          <cell r="B761" t="str">
            <v>SMILEPLAST LIMITED</v>
          </cell>
          <cell r="C761" t="str">
            <v>SEAMLESS PIPES</v>
          </cell>
          <cell r="D761" t="str">
            <v>3 INCHES</v>
          </cell>
          <cell r="E761" t="str">
            <v>Piece</v>
          </cell>
          <cell r="F761" t="str">
            <v>Shillings</v>
          </cell>
          <cell r="G761"/>
        </row>
        <row r="762">
          <cell r="A762" t="str">
            <v>2220</v>
          </cell>
          <cell r="B762" t="str">
            <v>SMILEPLAST LIMITED</v>
          </cell>
          <cell r="C762" t="str">
            <v>TRUNKING</v>
          </cell>
          <cell r="D762" t="str">
            <v>25*40</v>
          </cell>
          <cell r="E762" t="str">
            <v>Piece</v>
          </cell>
          <cell r="F762" t="str">
            <v>Shillings</v>
          </cell>
          <cell r="G762"/>
        </row>
        <row r="763">
          <cell r="A763" t="str">
            <v>2220</v>
          </cell>
          <cell r="B763" t="str">
            <v>SMILEPLAST LIMITED</v>
          </cell>
          <cell r="C763" t="str">
            <v>TRUNKING</v>
          </cell>
          <cell r="D763" t="str">
            <v>16*16</v>
          </cell>
          <cell r="E763" t="str">
            <v>Piece</v>
          </cell>
          <cell r="F763" t="str">
            <v>Shillings</v>
          </cell>
          <cell r="G763"/>
        </row>
        <row r="764">
          <cell r="A764" t="str">
            <v>2220</v>
          </cell>
          <cell r="B764" t="str">
            <v>SMILEPLAST LIMITED</v>
          </cell>
          <cell r="C764" t="str">
            <v>TRUNKING</v>
          </cell>
          <cell r="D764" t="str">
            <v>16*25</v>
          </cell>
          <cell r="E764" t="str">
            <v>Piece</v>
          </cell>
          <cell r="F764" t="str">
            <v>Shillings</v>
          </cell>
          <cell r="G764"/>
        </row>
        <row r="765">
          <cell r="A765" t="str">
            <v>2220</v>
          </cell>
          <cell r="B765" t="str">
            <v>SMILEPLAST LIMITED</v>
          </cell>
          <cell r="C765" t="str">
            <v>TRUNKING</v>
          </cell>
          <cell r="D765" t="str">
            <v>50*50*9 BUNDLE</v>
          </cell>
          <cell r="E765" t="str">
            <v>Piece</v>
          </cell>
          <cell r="F765" t="str">
            <v>Shillings</v>
          </cell>
          <cell r="G765"/>
        </row>
        <row r="766">
          <cell r="A766" t="str">
            <v>2220</v>
          </cell>
          <cell r="B766" t="str">
            <v>NILE PLASTICS</v>
          </cell>
          <cell r="C766" t="str">
            <v>LD PRINTED BREAD WRAPPERS</v>
          </cell>
          <cell r="D766" t="str">
            <v>LD PRINTED BREAD WRAPPERS</v>
          </cell>
          <cell r="E766" t="str">
            <v>KG</v>
          </cell>
          <cell r="F766" t="str">
            <v>Shillings</v>
          </cell>
          <cell r="G766"/>
        </row>
        <row r="767">
          <cell r="A767" t="str">
            <v>2220</v>
          </cell>
          <cell r="B767" t="str">
            <v>NILE PLASTICS</v>
          </cell>
          <cell r="C767" t="str">
            <v>LD PLAIN BAGS</v>
          </cell>
          <cell r="D767" t="str">
            <v>LD PLAIN BAGS</v>
          </cell>
          <cell r="E767" t="str">
            <v>KG</v>
          </cell>
          <cell r="F767" t="str">
            <v>Shillings</v>
          </cell>
          <cell r="G767"/>
        </row>
        <row r="768">
          <cell r="A768" t="str">
            <v>2220</v>
          </cell>
          <cell r="B768" t="str">
            <v>NILE PLASTICS</v>
          </cell>
          <cell r="C768" t="str">
            <v>HD PRINTED BAGS</v>
          </cell>
          <cell r="D768" t="str">
            <v>HD PRINTED BAGS</v>
          </cell>
          <cell r="E768" t="str">
            <v>KG</v>
          </cell>
          <cell r="F768" t="str">
            <v>Shillings</v>
          </cell>
          <cell r="G768"/>
        </row>
        <row r="769">
          <cell r="A769" t="str">
            <v>2220</v>
          </cell>
          <cell r="B769" t="str">
            <v>NILE PLASTICS</v>
          </cell>
          <cell r="C769" t="str">
            <v>LD PLAIN BREAD WRAPPERS</v>
          </cell>
          <cell r="D769" t="str">
            <v>LD PLAIN BREAD WRAPPERS</v>
          </cell>
          <cell r="E769" t="str">
            <v>KG</v>
          </cell>
          <cell r="F769" t="str">
            <v>Shillings</v>
          </cell>
          <cell r="G769"/>
        </row>
        <row r="770">
          <cell r="A770" t="str">
            <v>2220</v>
          </cell>
          <cell r="B770" t="str">
            <v>NILE PLASTICS</v>
          </cell>
          <cell r="C770" t="str">
            <v>HD PLAIN BAGS</v>
          </cell>
          <cell r="D770" t="str">
            <v>HD PLAIN BAGS</v>
          </cell>
          <cell r="E770" t="str">
            <v>KG</v>
          </cell>
          <cell r="F770" t="str">
            <v>Shillings</v>
          </cell>
          <cell r="G770"/>
        </row>
        <row r="771">
          <cell r="A771" t="str">
            <v>2220</v>
          </cell>
          <cell r="B771" t="str">
            <v>NILE PLASTICS</v>
          </cell>
          <cell r="C771" t="str">
            <v>HD CARRIER BAGS</v>
          </cell>
          <cell r="D771" t="str">
            <v>HD CARRIER BAGS</v>
          </cell>
          <cell r="E771" t="str">
            <v>KG</v>
          </cell>
          <cell r="F771" t="str">
            <v>Shillings</v>
          </cell>
          <cell r="G771"/>
        </row>
        <row r="772">
          <cell r="A772" t="str">
            <v>2220</v>
          </cell>
          <cell r="B772" t="str">
            <v>HWAN SUNG INDUSTRIES LIMITED</v>
          </cell>
          <cell r="C772" t="str">
            <v>Styrafoam</v>
          </cell>
          <cell r="D772" t="str">
            <v>3kg</v>
          </cell>
          <cell r="E772" t="str">
            <v>36 pieces</v>
          </cell>
          <cell r="F772" t="str">
            <v>Shillings</v>
          </cell>
          <cell r="G772"/>
        </row>
        <row r="773">
          <cell r="A773" t="str">
            <v>2220</v>
          </cell>
          <cell r="B773" t="str">
            <v>HWAN SUNG INDUSTRIES LIMITED</v>
          </cell>
          <cell r="C773" t="str">
            <v>Styrafoam</v>
          </cell>
          <cell r="D773" t="str">
            <v>6kg</v>
          </cell>
          <cell r="E773" t="str">
            <v>30 pieces</v>
          </cell>
          <cell r="F773" t="str">
            <v>Shillings</v>
          </cell>
          <cell r="G773"/>
        </row>
        <row r="774">
          <cell r="A774" t="str">
            <v>2220</v>
          </cell>
          <cell r="B774" t="str">
            <v>HWAN SUNG INDUSTRIES LIMITED</v>
          </cell>
          <cell r="C774" t="str">
            <v>Styrafoam</v>
          </cell>
          <cell r="D774" t="str">
            <v>20kg</v>
          </cell>
          <cell r="E774" t="str">
            <v>10 pieces</v>
          </cell>
          <cell r="F774" t="str">
            <v>Shillings</v>
          </cell>
          <cell r="G774"/>
        </row>
        <row r="775">
          <cell r="A775" t="str">
            <v>2220</v>
          </cell>
          <cell r="B775" t="str">
            <v>HWAN SUNG INDUSTRIES LIMITED</v>
          </cell>
          <cell r="C775" t="str">
            <v>Foam plates</v>
          </cell>
          <cell r="D775" t="str">
            <v>01</v>
          </cell>
          <cell r="E775" t="str">
            <v xml:space="preserve">500 pieces </v>
          </cell>
          <cell r="F775" t="str">
            <v>Shillings</v>
          </cell>
          <cell r="G775"/>
        </row>
        <row r="776">
          <cell r="A776" t="str">
            <v>2220</v>
          </cell>
          <cell r="B776" t="str">
            <v>HWAN SUNG INDUSTRIES LIMITED</v>
          </cell>
          <cell r="C776" t="str">
            <v>Foam plates</v>
          </cell>
          <cell r="D776" t="str">
            <v>02</v>
          </cell>
          <cell r="E776" t="str">
            <v xml:space="preserve">500 pieces </v>
          </cell>
          <cell r="F776" t="str">
            <v>Shillings</v>
          </cell>
          <cell r="G776"/>
        </row>
        <row r="777">
          <cell r="A777" t="str">
            <v>2220</v>
          </cell>
          <cell r="B777" t="str">
            <v>HWAN SUNG INDUSTRIES LIMITED</v>
          </cell>
          <cell r="C777" t="str">
            <v>Foam plates</v>
          </cell>
          <cell r="D777" t="str">
            <v>03</v>
          </cell>
          <cell r="E777" t="str">
            <v xml:space="preserve">500 pieces </v>
          </cell>
          <cell r="F777" t="str">
            <v>Shillings</v>
          </cell>
          <cell r="G777"/>
        </row>
        <row r="778">
          <cell r="A778" t="str">
            <v>2220</v>
          </cell>
          <cell r="B778" t="str">
            <v>HWAN SUNG INDUSTRIES LIMITED</v>
          </cell>
          <cell r="C778" t="str">
            <v>Foam plates</v>
          </cell>
          <cell r="D778" t="str">
            <v>04</v>
          </cell>
          <cell r="E778" t="str">
            <v xml:space="preserve">500 pieces </v>
          </cell>
          <cell r="F778" t="str">
            <v>Shillings</v>
          </cell>
          <cell r="G778"/>
        </row>
        <row r="779">
          <cell r="A779" t="str">
            <v>2220</v>
          </cell>
          <cell r="B779" t="str">
            <v>HWAN SUNG INDUSTRIES LIMITED</v>
          </cell>
          <cell r="C779" t="str">
            <v>Foam plates</v>
          </cell>
          <cell r="D779" t="str">
            <v>05</v>
          </cell>
          <cell r="E779" t="str">
            <v xml:space="preserve">500 pieces </v>
          </cell>
          <cell r="F779" t="str">
            <v>Shillings</v>
          </cell>
          <cell r="G779"/>
        </row>
        <row r="780">
          <cell r="A780" t="str">
            <v>2220</v>
          </cell>
          <cell r="B780" t="str">
            <v>HWAN SUNG INDUSTRIES LIMITED</v>
          </cell>
          <cell r="C780" t="str">
            <v>Foam plates</v>
          </cell>
          <cell r="D780" t="str">
            <v>06</v>
          </cell>
          <cell r="E780" t="str">
            <v>250 pieces</v>
          </cell>
          <cell r="F780" t="str">
            <v>Shillings</v>
          </cell>
          <cell r="G780"/>
        </row>
        <row r="781">
          <cell r="A781" t="str">
            <v>2220</v>
          </cell>
          <cell r="B781" t="str">
            <v>HWAN SUNG INDUSTRIES LIMITED</v>
          </cell>
          <cell r="C781" t="str">
            <v>Foam plates</v>
          </cell>
          <cell r="D781" t="str">
            <v>07</v>
          </cell>
          <cell r="E781" t="str">
            <v>250 pieces</v>
          </cell>
          <cell r="F781" t="str">
            <v>Shillings</v>
          </cell>
          <cell r="G781"/>
        </row>
        <row r="782">
          <cell r="G782"/>
        </row>
        <row r="783">
          <cell r="B783" t="str">
            <v>MANUFACTURE OF OTHER NON-METALLIC MINERAL PRODUCTS</v>
          </cell>
        </row>
        <row r="784">
          <cell r="A784" t="str">
            <v>2392</v>
          </cell>
          <cell r="B784" t="str">
            <v>Manufacture of non-metallic mineral products n.e.c.</v>
          </cell>
          <cell r="F784" t="str">
            <v>Index</v>
          </cell>
          <cell r="G784">
            <v>1.3162386715291501</v>
          </cell>
        </row>
        <row r="785">
          <cell r="B785" t="str">
            <v xml:space="preserve"> Manufacture of clay building materials</v>
          </cell>
          <cell r="F785" t="str">
            <v>Geomean</v>
          </cell>
          <cell r="G785"/>
        </row>
        <row r="786">
          <cell r="A786">
            <v>2392</v>
          </cell>
          <cell r="B786" t="str">
            <v>UGANDA CLAYS LIMITED</v>
          </cell>
          <cell r="C786" t="str">
            <v>Flat Top Ridges</v>
          </cell>
          <cell r="D786" t="str">
            <v>2.6KG Tiles with Dimensions: 400*210*110</v>
          </cell>
          <cell r="E786" t="str">
            <v>A Piece</v>
          </cell>
          <cell r="F786" t="str">
            <v>Shillings</v>
          </cell>
          <cell r="G786"/>
        </row>
        <row r="787">
          <cell r="A787">
            <v>2392</v>
          </cell>
          <cell r="B787" t="str">
            <v>UGANDA CLAYS LIMITED</v>
          </cell>
          <cell r="C787" t="str">
            <v>Half Bricks</v>
          </cell>
          <cell r="D787" t="str">
            <v>Bricks of 0.9KG and Dimensions:220*38*75</v>
          </cell>
          <cell r="E787" t="str">
            <v>A Piece</v>
          </cell>
          <cell r="F787" t="str">
            <v>Shillings</v>
          </cell>
          <cell r="G787"/>
        </row>
        <row r="788">
          <cell r="A788">
            <v>2392</v>
          </cell>
          <cell r="B788" t="str">
            <v>UGANDA CLAYS LIMITED</v>
          </cell>
          <cell r="C788" t="str">
            <v>Mangalore Tiles Standard</v>
          </cell>
          <cell r="D788"/>
          <cell r="E788" t="str">
            <v>A Piece</v>
          </cell>
          <cell r="F788" t="str">
            <v>Shillings</v>
          </cell>
          <cell r="G788"/>
        </row>
        <row r="789">
          <cell r="A789">
            <v>2392</v>
          </cell>
          <cell r="B789" t="str">
            <v>UGANDA CLAYS LIMITED</v>
          </cell>
          <cell r="C789" t="str">
            <v>Mangalore Tiles</v>
          </cell>
          <cell r="D789" t="str">
            <v>2.6KG Tiles with Dimensions: 410*235*46</v>
          </cell>
          <cell r="E789" t="str">
            <v>A Piece</v>
          </cell>
          <cell r="F789" t="str">
            <v>Shillings</v>
          </cell>
          <cell r="G789"/>
        </row>
        <row r="790">
          <cell r="A790">
            <v>2392</v>
          </cell>
          <cell r="B790" t="str">
            <v>UGANDA CLAYS LIMITED</v>
          </cell>
          <cell r="C790" t="str">
            <v>max pan 6"</v>
          </cell>
          <cell r="D790" t="str">
            <v>MAXPAN of 6 INCHES, 8.7KG AND DIMENSIONS:300*300*150</v>
          </cell>
          <cell r="E790" t="str">
            <v>A Piece</v>
          </cell>
          <cell r="F790" t="str">
            <v>Shillings</v>
          </cell>
          <cell r="G790"/>
        </row>
        <row r="791">
          <cell r="A791">
            <v>2392</v>
          </cell>
          <cell r="B791" t="str">
            <v>UGANDA CLAYS LIMITED</v>
          </cell>
          <cell r="C791" t="str">
            <v>Maxpan"5</v>
          </cell>
          <cell r="D791" t="str">
            <v>MAXPAN of 5 INCHES, 8.7KG AND DIMENSIONS:300*300*125</v>
          </cell>
          <cell r="E791" t="str">
            <v>A Piece</v>
          </cell>
          <cell r="F791" t="str">
            <v>Shillings</v>
          </cell>
          <cell r="G791"/>
        </row>
        <row r="792">
          <cell r="A792">
            <v>2392</v>
          </cell>
          <cell r="B792" t="str">
            <v>KIWA INDUSTRIES LTD</v>
          </cell>
          <cell r="C792" t="str">
            <v>Clay Roofing Tiles</v>
          </cell>
          <cell r="D792" t="str">
            <v>16" X 12"</v>
          </cell>
          <cell r="E792" t="str">
            <v>Piece</v>
          </cell>
          <cell r="F792" t="str">
            <v>Shillings</v>
          </cell>
          <cell r="G792"/>
        </row>
        <row r="793">
          <cell r="A793">
            <v>2392</v>
          </cell>
          <cell r="B793" t="str">
            <v>KIWA INDUSTRIES LTD</v>
          </cell>
          <cell r="C793" t="str">
            <v>Clay Pavers</v>
          </cell>
          <cell r="D793" t="str">
            <v>DT Rectangular 60mm</v>
          </cell>
          <cell r="E793" t="str">
            <v>Piece</v>
          </cell>
          <cell r="F793" t="str">
            <v>Shillings</v>
          </cell>
          <cell r="G793"/>
        </row>
        <row r="794">
          <cell r="A794">
            <v>2392</v>
          </cell>
          <cell r="B794" t="str">
            <v>KIWA INDUSTRIES LTD</v>
          </cell>
          <cell r="C794" t="str">
            <v>Clay Pavers</v>
          </cell>
          <cell r="D794" t="str">
            <v>DT Rectangular 80mm</v>
          </cell>
          <cell r="E794" t="str">
            <v>Piece</v>
          </cell>
          <cell r="F794" t="str">
            <v>Shillings</v>
          </cell>
          <cell r="G794"/>
        </row>
        <row r="795">
          <cell r="A795">
            <v>2392</v>
          </cell>
          <cell r="B795" t="str">
            <v>KIWA INDUSTRIES LTD</v>
          </cell>
          <cell r="C795" t="str">
            <v>Clay Ridges</v>
          </cell>
          <cell r="D795" t="str">
            <v>Ridges Big of  4.5kg 13" X 9"</v>
          </cell>
          <cell r="E795" t="str">
            <v>Piece</v>
          </cell>
          <cell r="F795" t="str">
            <v>Shillings</v>
          </cell>
          <cell r="G795"/>
        </row>
        <row r="796">
          <cell r="A796">
            <v>2392</v>
          </cell>
          <cell r="B796" t="str">
            <v>LWEZA CLAYS LIMITED</v>
          </cell>
          <cell r="C796" t="str">
            <v>Roofing Tiles</v>
          </cell>
          <cell r="D796" t="str">
            <v>Mangalore tiles(selected)</v>
          </cell>
          <cell r="E796" t="str">
            <v>piece</v>
          </cell>
          <cell r="F796" t="str">
            <v>Shillings</v>
          </cell>
          <cell r="G796"/>
        </row>
        <row r="797">
          <cell r="A797">
            <v>2392</v>
          </cell>
          <cell r="B797" t="str">
            <v>LWEZA CLAYS LIMITED</v>
          </cell>
          <cell r="C797" t="str">
            <v>Roofing Tiles</v>
          </cell>
          <cell r="D797" t="str">
            <v>Mangalore tiles(standard)</v>
          </cell>
          <cell r="E797" t="str">
            <v>piece</v>
          </cell>
          <cell r="F797" t="str">
            <v>Shillings</v>
          </cell>
          <cell r="G797"/>
        </row>
        <row r="798">
          <cell r="A798">
            <v>2392</v>
          </cell>
          <cell r="B798" t="str">
            <v>LWEZA CLAYS LIMITED</v>
          </cell>
          <cell r="C798" t="str">
            <v>Roofing Tiles</v>
          </cell>
          <cell r="D798" t="str">
            <v>Marseille (selected)</v>
          </cell>
          <cell r="E798" t="str">
            <v>piece</v>
          </cell>
          <cell r="F798" t="str">
            <v>Shillings</v>
          </cell>
          <cell r="G798"/>
        </row>
        <row r="799">
          <cell r="A799">
            <v>2392</v>
          </cell>
          <cell r="B799" t="str">
            <v>LWEZA CLAYS LIMITED</v>
          </cell>
          <cell r="C799" t="str">
            <v>Roofing Tiles</v>
          </cell>
          <cell r="D799" t="str">
            <v>Ridges</v>
          </cell>
          <cell r="E799" t="str">
            <v>piece</v>
          </cell>
          <cell r="F799" t="str">
            <v>Shillings</v>
          </cell>
          <cell r="G799"/>
        </row>
        <row r="800">
          <cell r="A800">
            <v>2392</v>
          </cell>
          <cell r="B800" t="str">
            <v>LWEZA CLAYS LIMITED</v>
          </cell>
          <cell r="C800" t="str">
            <v>Bricks</v>
          </cell>
          <cell r="D800" t="str">
            <v>selected bricks</v>
          </cell>
          <cell r="E800" t="str">
            <v>piece</v>
          </cell>
          <cell r="F800" t="str">
            <v>Shillings</v>
          </cell>
          <cell r="G800"/>
        </row>
        <row r="801">
          <cell r="A801">
            <v>2392</v>
          </cell>
          <cell r="B801" t="str">
            <v>LWEZA CLAYS LIMITED</v>
          </cell>
          <cell r="C801" t="str">
            <v>Bricks</v>
          </cell>
          <cell r="D801" t="str">
            <v>facing bricks</v>
          </cell>
          <cell r="E801" t="str">
            <v>piece</v>
          </cell>
          <cell r="F801" t="str">
            <v>Shillings</v>
          </cell>
          <cell r="G801"/>
        </row>
        <row r="802">
          <cell r="A802">
            <v>2392</v>
          </cell>
          <cell r="B802" t="str">
            <v>LWEZA CLAYS LIMITED</v>
          </cell>
          <cell r="C802" t="str">
            <v>Bricks</v>
          </cell>
          <cell r="D802" t="str">
            <v>facing bricks (black)</v>
          </cell>
          <cell r="E802" t="str">
            <v>piece</v>
          </cell>
          <cell r="F802" t="str">
            <v>Shillings</v>
          </cell>
          <cell r="G802"/>
        </row>
        <row r="803">
          <cell r="A803">
            <v>2392</v>
          </cell>
          <cell r="B803" t="str">
            <v>LWEZA CLAYS LIMITED</v>
          </cell>
          <cell r="C803" t="str">
            <v>Bricks</v>
          </cell>
          <cell r="D803" t="str">
            <v>fire bricks</v>
          </cell>
          <cell r="E803" t="str">
            <v>piece</v>
          </cell>
          <cell r="F803" t="str">
            <v>Shillings</v>
          </cell>
          <cell r="G803"/>
        </row>
        <row r="804">
          <cell r="A804">
            <v>2392</v>
          </cell>
          <cell r="B804" t="str">
            <v>LWEZA CLAYS LIMITED</v>
          </cell>
          <cell r="C804" t="str">
            <v>interlocking and corner bricks</v>
          </cell>
          <cell r="D804" t="str">
            <v>interlocking 6"</v>
          </cell>
          <cell r="E804" t="str">
            <v>piece</v>
          </cell>
          <cell r="F804" t="str">
            <v>Shillings</v>
          </cell>
          <cell r="G804"/>
        </row>
        <row r="805">
          <cell r="A805">
            <v>2392</v>
          </cell>
          <cell r="B805" t="str">
            <v>LWEZA CLAYS LIMITED</v>
          </cell>
          <cell r="C805" t="str">
            <v>interlocking and corner bricks</v>
          </cell>
          <cell r="D805" t="str">
            <v>interlocking 9"</v>
          </cell>
          <cell r="E805" t="str">
            <v>Piece</v>
          </cell>
          <cell r="F805" t="str">
            <v>Shillings</v>
          </cell>
          <cell r="G805"/>
        </row>
        <row r="806">
          <cell r="A806">
            <v>2392</v>
          </cell>
          <cell r="B806" t="str">
            <v>LWEZA CLAYS LIMITED</v>
          </cell>
          <cell r="C806" t="str">
            <v>interlocking and corner bricks</v>
          </cell>
          <cell r="D806" t="str">
            <v>corner 6</v>
          </cell>
          <cell r="E806" t="str">
            <v>Piece</v>
          </cell>
          <cell r="F806" t="str">
            <v>Shillings</v>
          </cell>
          <cell r="G806"/>
        </row>
        <row r="807">
          <cell r="A807">
            <v>2392</v>
          </cell>
          <cell r="B807" t="str">
            <v>LWEZA CLAYS LIMITED</v>
          </cell>
          <cell r="C807" t="str">
            <v>interlocking and corner bricks</v>
          </cell>
          <cell r="D807" t="str">
            <v>corner 9</v>
          </cell>
          <cell r="E807" t="str">
            <v>Piece</v>
          </cell>
          <cell r="F807" t="str">
            <v>Shillings</v>
          </cell>
          <cell r="G807"/>
        </row>
        <row r="808">
          <cell r="A808">
            <v>2392</v>
          </cell>
          <cell r="B808" t="str">
            <v>LWEZA CLAYS LIMITED</v>
          </cell>
          <cell r="C808" t="str">
            <v>Suspender floor units</v>
          </cell>
          <cell r="D808" t="str">
            <v>max pan 4"</v>
          </cell>
          <cell r="E808" t="str">
            <v>Piece</v>
          </cell>
          <cell r="F808" t="str">
            <v>Shillings</v>
          </cell>
          <cell r="G808"/>
        </row>
        <row r="809">
          <cell r="A809">
            <v>2392</v>
          </cell>
          <cell r="B809" t="str">
            <v>LWEZA CLAYS LIMITED</v>
          </cell>
          <cell r="C809" t="str">
            <v>Suspender floor units</v>
          </cell>
          <cell r="D809" t="str">
            <v>max pan 5"</v>
          </cell>
          <cell r="E809" t="str">
            <v>Piece</v>
          </cell>
          <cell r="F809" t="str">
            <v>Shillings</v>
          </cell>
          <cell r="G809"/>
        </row>
        <row r="810">
          <cell r="A810">
            <v>2392</v>
          </cell>
          <cell r="B810" t="str">
            <v>LWEZA CLAYS LIMITED</v>
          </cell>
          <cell r="C810" t="str">
            <v>Suspender floor units</v>
          </cell>
          <cell r="D810" t="str">
            <v>max pan 6"</v>
          </cell>
          <cell r="E810" t="str">
            <v>Piece</v>
          </cell>
          <cell r="F810" t="str">
            <v>Shillings</v>
          </cell>
          <cell r="G810"/>
        </row>
        <row r="811">
          <cell r="A811">
            <v>2392</v>
          </cell>
          <cell r="B811" t="str">
            <v>LWEZA CLAYS LIMITED</v>
          </cell>
          <cell r="C811" t="str">
            <v>Suspender floor units</v>
          </cell>
          <cell r="D811" t="str">
            <v>max pan 8"</v>
          </cell>
          <cell r="E811" t="str">
            <v>Piece</v>
          </cell>
          <cell r="F811" t="str">
            <v>Shillings</v>
          </cell>
          <cell r="G811"/>
        </row>
        <row r="812">
          <cell r="A812">
            <v>2392</v>
          </cell>
          <cell r="B812" t="str">
            <v>LWEZA CLAYS LIMITED</v>
          </cell>
          <cell r="C812" t="str">
            <v>Ventilators</v>
          </cell>
          <cell r="D812" t="str">
            <v>sissa</v>
          </cell>
          <cell r="E812" t="str">
            <v>Piece</v>
          </cell>
          <cell r="F812" t="str">
            <v>Shillings</v>
          </cell>
          <cell r="G812"/>
        </row>
        <row r="813">
          <cell r="A813">
            <v>2392</v>
          </cell>
          <cell r="B813" t="str">
            <v>LWEZA CLAYS LIMITED</v>
          </cell>
          <cell r="C813" t="str">
            <v>Ventilators</v>
          </cell>
          <cell r="D813" t="str">
            <v>venezia</v>
          </cell>
          <cell r="E813" t="str">
            <v>Piece</v>
          </cell>
          <cell r="F813" t="str">
            <v>Shillings</v>
          </cell>
          <cell r="G813"/>
        </row>
        <row r="814">
          <cell r="A814">
            <v>2392</v>
          </cell>
          <cell r="B814" t="str">
            <v>LWEZA CLAYS LIMITED</v>
          </cell>
          <cell r="C814" t="str">
            <v>Ventilators</v>
          </cell>
          <cell r="D814" t="str">
            <v>benz vents</v>
          </cell>
          <cell r="E814" t="str">
            <v>Piece</v>
          </cell>
          <cell r="F814" t="str">
            <v>Shillings</v>
          </cell>
          <cell r="G814"/>
        </row>
        <row r="815">
          <cell r="A815">
            <v>2392</v>
          </cell>
          <cell r="B815" t="str">
            <v>LWEZA CLAYS LIMITED</v>
          </cell>
          <cell r="C815" t="str">
            <v>Ventilators</v>
          </cell>
          <cell r="D815" t="str">
            <v>mallfonte vents</v>
          </cell>
          <cell r="E815" t="str">
            <v>Piece</v>
          </cell>
          <cell r="F815" t="str">
            <v>Shillings</v>
          </cell>
          <cell r="G815"/>
        </row>
        <row r="816">
          <cell r="A816">
            <v>2392</v>
          </cell>
          <cell r="B816" t="str">
            <v>BUTEMA BRICKS</v>
          </cell>
          <cell r="C816" t="str">
            <v>S1/2 Bricks</v>
          </cell>
          <cell r="D816" t="str">
            <v>S1/2 Bricks</v>
          </cell>
          <cell r="E816" t="str">
            <v>A Piece</v>
          </cell>
          <cell r="F816" t="str">
            <v>Shillings</v>
          </cell>
          <cell r="G816"/>
        </row>
        <row r="817">
          <cell r="A817">
            <v>2392</v>
          </cell>
          <cell r="B817" t="str">
            <v>BUTEMA BRICKS</v>
          </cell>
          <cell r="C817" t="str">
            <v>Floor Tiles</v>
          </cell>
          <cell r="D817" t="str">
            <v>Clay Floor Tiles 3.5X4.5X28.5</v>
          </cell>
          <cell r="E817" t="str">
            <v>A Piece</v>
          </cell>
          <cell r="F817" t="str">
            <v>Shillings</v>
          </cell>
          <cell r="G817"/>
        </row>
        <row r="818">
          <cell r="A818">
            <v>2392</v>
          </cell>
          <cell r="B818" t="str">
            <v>BUTEMA BRICKS</v>
          </cell>
          <cell r="C818" t="str">
            <v>Facing Bricks</v>
          </cell>
          <cell r="D818" t="str">
            <v>Facing Bricks 20.8X5X70</v>
          </cell>
          <cell r="E818" t="str">
            <v>A Piece</v>
          </cell>
          <cell r="F818" t="str">
            <v>Shillings</v>
          </cell>
          <cell r="G818"/>
        </row>
        <row r="819">
          <cell r="A819">
            <v>2392</v>
          </cell>
          <cell r="B819" t="str">
            <v>BUTEMA BRICKS</v>
          </cell>
          <cell r="C819" t="str">
            <v>BI Bricks</v>
          </cell>
          <cell r="D819" t="str">
            <v>BI Bricks 18.04X11X24</v>
          </cell>
          <cell r="E819" t="str">
            <v>A Piece</v>
          </cell>
          <cell r="F819" t="str">
            <v>Shillings</v>
          </cell>
          <cell r="G819"/>
        </row>
        <row r="820">
          <cell r="A820">
            <v>2392</v>
          </cell>
          <cell r="B820" t="str">
            <v>BUTENDE BRICK WORKS</v>
          </cell>
          <cell r="C820" t="str">
            <v xml:space="preserve">Bricks </v>
          </cell>
          <cell r="D820" t="str">
            <v>clay and water</v>
          </cell>
          <cell r="E820" t="str">
            <v>Piece</v>
          </cell>
          <cell r="F820" t="str">
            <v>Shillings</v>
          </cell>
          <cell r="G820"/>
        </row>
        <row r="821">
          <cell r="A821">
            <v>2392</v>
          </cell>
          <cell r="B821" t="str">
            <v>BUTENDE BRICK WORKS</v>
          </cell>
          <cell r="C821" t="str">
            <v>Half Bricks</v>
          </cell>
          <cell r="D821" t="str">
            <v>clay and water</v>
          </cell>
          <cell r="E821" t="str">
            <v>Piece</v>
          </cell>
          <cell r="F821" t="str">
            <v>Shillings</v>
          </cell>
          <cell r="G821"/>
        </row>
        <row r="822">
          <cell r="A822">
            <v>2392</v>
          </cell>
          <cell r="B822" t="str">
            <v>BUTENDE BRICK WORKS</v>
          </cell>
          <cell r="C822" t="str">
            <v>Ventilators</v>
          </cell>
          <cell r="D822" t="str">
            <v>clay and water</v>
          </cell>
          <cell r="E822" t="str">
            <v>Piece</v>
          </cell>
          <cell r="F822" t="str">
            <v>Shillings</v>
          </cell>
          <cell r="G822"/>
        </row>
        <row r="823">
          <cell r="A823">
            <v>2392</v>
          </cell>
          <cell r="B823" t="str">
            <v>BUTENDE BRICK WORKS</v>
          </cell>
          <cell r="C823" t="str">
            <v>MaxPans</v>
          </cell>
          <cell r="D823" t="str">
            <v>clay and water</v>
          </cell>
          <cell r="E823" t="str">
            <v>Piece</v>
          </cell>
          <cell r="F823" t="str">
            <v>Shillings</v>
          </cell>
          <cell r="G823"/>
        </row>
        <row r="824">
          <cell r="A824">
            <v>2392</v>
          </cell>
          <cell r="B824" t="str">
            <v>BUTENDE BRICK WORKS</v>
          </cell>
          <cell r="C824" t="str">
            <v>Block</v>
          </cell>
          <cell r="D824" t="str">
            <v>clay and water</v>
          </cell>
          <cell r="E824" t="str">
            <v>Piece</v>
          </cell>
          <cell r="F824" t="str">
            <v>Shillings</v>
          </cell>
          <cell r="G824"/>
        </row>
        <row r="825">
          <cell r="A825">
            <v>2392</v>
          </cell>
          <cell r="B825" t="str">
            <v>KAJJANSI BRICKS AND TILES WORKS LIMITED</v>
          </cell>
          <cell r="C825" t="str">
            <v>Roofing Tiles</v>
          </cell>
          <cell r="D825" t="str">
            <v>Mangalore( 1st grade)</v>
          </cell>
          <cell r="E825" t="str">
            <v>sq meter</v>
          </cell>
          <cell r="F825" t="str">
            <v>Shillings</v>
          </cell>
          <cell r="G825"/>
        </row>
        <row r="826">
          <cell r="A826">
            <v>2392</v>
          </cell>
          <cell r="B826" t="str">
            <v>KAJJANSI BRICKS AND TILES WORKS LIMITED</v>
          </cell>
          <cell r="C826" t="str">
            <v>Roofing Tiles</v>
          </cell>
          <cell r="D826" t="str">
            <v>Marseille (1st grade)</v>
          </cell>
          <cell r="E826" t="str">
            <v>sq meter</v>
          </cell>
          <cell r="F826" t="str">
            <v>Shillings</v>
          </cell>
          <cell r="G826"/>
        </row>
        <row r="827">
          <cell r="A827">
            <v>2392</v>
          </cell>
          <cell r="B827" t="str">
            <v>KAJJANSI BRICKS AND TILES WORKS LIMITED</v>
          </cell>
          <cell r="C827" t="str">
            <v>Ridge tile</v>
          </cell>
          <cell r="D827" t="str">
            <v>Flat top (1st grade)</v>
          </cell>
          <cell r="E827" t="str">
            <v>Piece</v>
          </cell>
          <cell r="F827" t="str">
            <v>Shillings</v>
          </cell>
          <cell r="G827"/>
        </row>
        <row r="828">
          <cell r="A828">
            <v>2392</v>
          </cell>
          <cell r="B828" t="str">
            <v>KAJJANSI BRICKS AND TILES WORKS LIMITED</v>
          </cell>
          <cell r="C828" t="str">
            <v>Maxpans</v>
          </cell>
          <cell r="D828" t="str">
            <v>1st grade</v>
          </cell>
          <cell r="E828" t="str">
            <v>Piece</v>
          </cell>
          <cell r="F828" t="str">
            <v>Shillings</v>
          </cell>
          <cell r="G828"/>
        </row>
        <row r="829">
          <cell r="A829">
            <v>2392</v>
          </cell>
          <cell r="B829" t="str">
            <v>KAJJANSI BRICKS AND TILES WORKS LIMITED</v>
          </cell>
          <cell r="C829" t="str">
            <v>Partition blocks</v>
          </cell>
          <cell r="D829" t="str">
            <v>1st grade</v>
          </cell>
          <cell r="E829" t="str">
            <v>Piece</v>
          </cell>
          <cell r="F829" t="str">
            <v>Shillings</v>
          </cell>
          <cell r="G829"/>
        </row>
        <row r="830">
          <cell r="A830">
            <v>2392</v>
          </cell>
          <cell r="B830" t="str">
            <v>KAJJANSI BRICKS AND TILES WORKS LIMITED</v>
          </cell>
          <cell r="C830" t="str">
            <v>Half Bricks</v>
          </cell>
          <cell r="D830" t="str">
            <v>1st grade</v>
          </cell>
          <cell r="E830" t="str">
            <v>Piece</v>
          </cell>
          <cell r="F830" t="str">
            <v>Shillings</v>
          </cell>
          <cell r="G830"/>
        </row>
        <row r="831">
          <cell r="A831">
            <v>2392</v>
          </cell>
          <cell r="B831" t="str">
            <v>KAJJANSI BRICKS AND TILES WORKS LIMITED</v>
          </cell>
          <cell r="C831" t="str">
            <v>Pompei</v>
          </cell>
          <cell r="D831" t="str">
            <v>Decorative grills (1st grade)</v>
          </cell>
          <cell r="E831" t="str">
            <v>Piece</v>
          </cell>
          <cell r="F831" t="str">
            <v>Shillings</v>
          </cell>
          <cell r="G831"/>
        </row>
        <row r="832">
          <cell r="A832">
            <v>2392</v>
          </cell>
          <cell r="B832" t="str">
            <v>KAJJANSI BRICKS AND TILES WORKS LIMITED</v>
          </cell>
          <cell r="C832" t="str">
            <v>Floor Tiles</v>
          </cell>
          <cell r="D832" t="str">
            <v>6*12 (1st grade)</v>
          </cell>
          <cell r="E832" t="str">
            <v>Piece</v>
          </cell>
          <cell r="F832" t="str">
            <v>Shillings</v>
          </cell>
          <cell r="G832"/>
        </row>
        <row r="833">
          <cell r="A833">
            <v>2392</v>
          </cell>
          <cell r="B833" t="str">
            <v>KAJJANSI BRICKS AND TILES WORKS LIMITED</v>
          </cell>
          <cell r="C833" t="str">
            <v>Agricultural pipes</v>
          </cell>
          <cell r="D833" t="str">
            <v>1st grade</v>
          </cell>
          <cell r="E833" t="str">
            <v>Piece</v>
          </cell>
          <cell r="F833" t="str">
            <v>Shillings</v>
          </cell>
          <cell r="G833"/>
        </row>
        <row r="834">
          <cell r="A834">
            <v>2392</v>
          </cell>
          <cell r="B834" t="str">
            <v>KAJJANSI BRICKS AND TILES WORKS LIMITED</v>
          </cell>
          <cell r="C834" t="str">
            <v>Cable covers</v>
          </cell>
          <cell r="D834" t="str">
            <v>1st grade</v>
          </cell>
          <cell r="E834" t="str">
            <v>Piece</v>
          </cell>
          <cell r="F834" t="str">
            <v>Shillings</v>
          </cell>
          <cell r="G834"/>
        </row>
        <row r="835">
          <cell r="G835"/>
        </row>
        <row r="836">
          <cell r="A836" t="str">
            <v>2394</v>
          </cell>
          <cell r="B836" t="str">
            <v xml:space="preserve"> Manufacture of cement, lime and plaster</v>
          </cell>
          <cell r="F836" t="str">
            <v>Index</v>
          </cell>
          <cell r="G836">
            <v>48.893660719388599</v>
          </cell>
        </row>
        <row r="837">
          <cell r="B837" t="str">
            <v xml:space="preserve"> Manufacture of cement, lime and plaster</v>
          </cell>
          <cell r="F837" t="str">
            <v>Geomean</v>
          </cell>
          <cell r="G837"/>
        </row>
        <row r="838">
          <cell r="A838">
            <v>2394</v>
          </cell>
          <cell r="B838" t="str">
            <v>TORORO CEMENT INDUSTRY LIMITED</v>
          </cell>
          <cell r="C838" t="str">
            <v>Cement</v>
          </cell>
          <cell r="D838" t="str">
            <v>Ordinary Portland Cement (OPC)</v>
          </cell>
          <cell r="E838" t="str">
            <v>50 Kilogram bag</v>
          </cell>
          <cell r="F838" t="str">
            <v>Shillings</v>
          </cell>
          <cell r="G838"/>
        </row>
        <row r="839">
          <cell r="A839">
            <v>2394</v>
          </cell>
          <cell r="B839" t="str">
            <v>TORORO CEMENT INDUSTRY LIMITED</v>
          </cell>
          <cell r="C839" t="str">
            <v>Cement</v>
          </cell>
          <cell r="D839" t="str">
            <v xml:space="preserve"> Portland Pozzolana  Cement (PPC)</v>
          </cell>
          <cell r="E839" t="str">
            <v>50 Kilogram bag</v>
          </cell>
          <cell r="F839" t="str">
            <v>Shillings</v>
          </cell>
          <cell r="G839"/>
        </row>
        <row r="840">
          <cell r="A840">
            <v>2394</v>
          </cell>
          <cell r="B840" t="str">
            <v>HIMA CEMENT LIMITED</v>
          </cell>
          <cell r="C840" t="str">
            <v>Hima Multipurpose (Local)</v>
          </cell>
          <cell r="D840" t="str">
            <v xml:space="preserve">multipurpose </v>
          </cell>
          <cell r="E840" t="str">
            <v>50 Kilogram bag</v>
          </cell>
          <cell r="F840" t="str">
            <v>Shillings</v>
          </cell>
          <cell r="G840"/>
        </row>
        <row r="841">
          <cell r="A841">
            <v>2394</v>
          </cell>
          <cell r="B841" t="str">
            <v>KAMPALA CEMENT CO. LIMITED</v>
          </cell>
          <cell r="C841" t="str">
            <v>Cement</v>
          </cell>
          <cell r="D841" t="str">
            <v>Nyati 32.5</v>
          </cell>
          <cell r="E841" t="str">
            <v>50 Kilogram bag</v>
          </cell>
          <cell r="F841" t="str">
            <v>Shillings</v>
          </cell>
          <cell r="G841"/>
        </row>
        <row r="842">
          <cell r="A842">
            <v>2394</v>
          </cell>
          <cell r="B842" t="str">
            <v>KAMPALA CEMENT CO. LIMITED</v>
          </cell>
          <cell r="C842" t="str">
            <v>Cement</v>
          </cell>
          <cell r="D842" t="str">
            <v>Kifaru 42.5</v>
          </cell>
          <cell r="E842" t="str">
            <v>50 Kilogram bag</v>
          </cell>
          <cell r="F842" t="str">
            <v>Shillings</v>
          </cell>
          <cell r="G842"/>
        </row>
        <row r="843">
          <cell r="A843">
            <v>2394</v>
          </cell>
          <cell r="B843" t="str">
            <v>KAMPALA CEMENT CO. LIMITED</v>
          </cell>
          <cell r="C843" t="str">
            <v>Cement</v>
          </cell>
          <cell r="D843" t="str">
            <v>chui</v>
          </cell>
          <cell r="E843" t="str">
            <v>50 Kilogram bag</v>
          </cell>
          <cell r="F843" t="str">
            <v>Shillings</v>
          </cell>
          <cell r="G843"/>
        </row>
        <row r="844">
          <cell r="A844">
            <v>2394</v>
          </cell>
          <cell r="B844" t="str">
            <v>KAMPALA CEMENT CO. LIMITED</v>
          </cell>
          <cell r="C844" t="str">
            <v>Cement</v>
          </cell>
          <cell r="D844" t="str">
            <v>ndovu</v>
          </cell>
          <cell r="E844" t="str">
            <v>50 Kilogram bag</v>
          </cell>
          <cell r="F844" t="str">
            <v>Shillings</v>
          </cell>
          <cell r="G844"/>
        </row>
        <row r="845">
          <cell r="A845">
            <v>2394</v>
          </cell>
          <cell r="B845" t="str">
            <v>KAMPALA CEMENT CO. LIMITED</v>
          </cell>
          <cell r="C845" t="str">
            <v>Cement</v>
          </cell>
          <cell r="D845" t="str">
            <v>Supercrete</v>
          </cell>
          <cell r="E845" t="str">
            <v>50 Kilogram bag</v>
          </cell>
          <cell r="F845" t="str">
            <v>Shillings</v>
          </cell>
          <cell r="G845"/>
        </row>
        <row r="846">
          <cell r="A846">
            <v>2394</v>
          </cell>
          <cell r="B846" t="str">
            <v>SIMBA CEMENT LTD</v>
          </cell>
          <cell r="C846" t="str">
            <v>Cement</v>
          </cell>
          <cell r="D846" t="str">
            <v>PPC-Cement</v>
          </cell>
          <cell r="E846" t="str">
            <v>50 Kilogram bag</v>
          </cell>
          <cell r="F846" t="str">
            <v>Shillings</v>
          </cell>
          <cell r="G846"/>
        </row>
        <row r="847">
          <cell r="A847">
            <v>2394</v>
          </cell>
          <cell r="B847" t="str">
            <v>SIMBA CEMENT LTD</v>
          </cell>
          <cell r="C847" t="str">
            <v>Cement</v>
          </cell>
          <cell r="D847" t="str">
            <v>OPC-Cement</v>
          </cell>
          <cell r="E847" t="str">
            <v>51 Kilogram bag</v>
          </cell>
          <cell r="F847" t="str">
            <v>Shillings</v>
          </cell>
          <cell r="G847"/>
        </row>
        <row r="848">
          <cell r="A848"/>
          <cell r="B848"/>
          <cell r="C848"/>
          <cell r="D848"/>
          <cell r="E848"/>
          <cell r="F848"/>
          <cell r="G848"/>
        </row>
        <row r="849">
          <cell r="A849" t="str">
            <v>2395</v>
          </cell>
          <cell r="B849" t="str">
            <v xml:space="preserve"> Manufacture of articles of concrete, cement and plaster</v>
          </cell>
          <cell r="F849" t="str">
            <v>Index</v>
          </cell>
          <cell r="G849">
            <v>0.38398400372775099</v>
          </cell>
        </row>
        <row r="850">
          <cell r="B850" t="str">
            <v xml:space="preserve"> Manufacture of articles of concrete, cement and plaster</v>
          </cell>
          <cell r="F850" t="str">
            <v>Geomean</v>
          </cell>
          <cell r="G850"/>
        </row>
        <row r="851">
          <cell r="A851">
            <v>2395</v>
          </cell>
          <cell r="B851" t="str">
            <v>MASTER INDUSTRIES (U) LIMITED</v>
          </cell>
          <cell r="C851" t="str">
            <v>Block 8x8x16 (Hollow)</v>
          </cell>
          <cell r="D851" t="str">
            <v>8*8*16</v>
          </cell>
          <cell r="E851" t="str">
            <v>piece</v>
          </cell>
          <cell r="F851" t="str">
            <v>Shillings</v>
          </cell>
          <cell r="G851"/>
        </row>
        <row r="852">
          <cell r="A852">
            <v>2395</v>
          </cell>
          <cell r="B852" t="str">
            <v>MASTER INDUSTRIES (U) LIMITED</v>
          </cell>
          <cell r="C852" t="str">
            <v>Block 9X6X18 (Dust)</v>
          </cell>
          <cell r="D852" t="str">
            <v>9*6*18 (dust) solid</v>
          </cell>
          <cell r="E852" t="str">
            <v>piece</v>
          </cell>
          <cell r="F852" t="str">
            <v>Shillings</v>
          </cell>
          <cell r="G852"/>
        </row>
        <row r="853">
          <cell r="A853">
            <v>2395</v>
          </cell>
          <cell r="B853" t="str">
            <v>MASTER INDUSTRIES (U) LIMITED</v>
          </cell>
          <cell r="C853" t="str">
            <v>Blocks 9X6X14 (Dust)</v>
          </cell>
          <cell r="D853" t="str">
            <v>block 9*6*14(dust) solid</v>
          </cell>
          <cell r="E853" t="str">
            <v>piece</v>
          </cell>
          <cell r="F853" t="str">
            <v>Shillings</v>
          </cell>
          <cell r="G853"/>
        </row>
        <row r="854">
          <cell r="A854">
            <v>2395</v>
          </cell>
          <cell r="B854" t="str">
            <v>MASTER INDUSTRIES (U) LIMITED</v>
          </cell>
          <cell r="C854" t="str">
            <v>culvert 300millimetres</v>
          </cell>
          <cell r="D854" t="str">
            <v>300mm diameter</v>
          </cell>
          <cell r="E854" t="str">
            <v>piece</v>
          </cell>
          <cell r="F854" t="str">
            <v>Shillings</v>
          </cell>
          <cell r="G854"/>
        </row>
        <row r="855">
          <cell r="A855">
            <v>2395</v>
          </cell>
          <cell r="B855" t="str">
            <v>MASTER INDUSTRIES (U) LIMITED</v>
          </cell>
          <cell r="C855" t="str">
            <v>Culvert 450 millimetres</v>
          </cell>
          <cell r="D855" t="str">
            <v>450 mm diameter*1m</v>
          </cell>
          <cell r="E855" t="str">
            <v>piece</v>
          </cell>
          <cell r="F855" t="str">
            <v>Shillings</v>
          </cell>
          <cell r="G855"/>
        </row>
        <row r="856">
          <cell r="A856">
            <v>2395</v>
          </cell>
          <cell r="B856" t="str">
            <v>MASTER INDUSTRIES (U) LIMITED</v>
          </cell>
          <cell r="C856" t="str">
            <v>Culvert 600 millimetres X1Metre</v>
          </cell>
          <cell r="D856" t="str">
            <v>600mm by 1m</v>
          </cell>
          <cell r="E856" t="str">
            <v>piece</v>
          </cell>
          <cell r="F856" t="str">
            <v>Shillings</v>
          </cell>
          <cell r="G856"/>
        </row>
        <row r="857">
          <cell r="A857">
            <v>2395</v>
          </cell>
          <cell r="B857" t="str">
            <v>MASTER INDUSTRIES (U) LIMITED</v>
          </cell>
          <cell r="C857" t="str">
            <v>Culvert 900 millimetres Diameter X1Metre</v>
          </cell>
          <cell r="D857" t="str">
            <v>900mm diameter by 1m</v>
          </cell>
          <cell r="E857" t="str">
            <v>piece</v>
          </cell>
          <cell r="F857" t="str">
            <v>Shillings</v>
          </cell>
          <cell r="G857"/>
        </row>
        <row r="858">
          <cell r="A858">
            <v>2395</v>
          </cell>
          <cell r="B858" t="str">
            <v>MASTER INDUSTRIES (U) LIMITED</v>
          </cell>
          <cell r="C858" t="str">
            <v>Kerbstone 1M Small</v>
          </cell>
          <cell r="D858" t="str">
            <v>200*150*1000m small</v>
          </cell>
          <cell r="E858" t="str">
            <v>metre</v>
          </cell>
          <cell r="F858" t="str">
            <v>Shillings</v>
          </cell>
          <cell r="G858"/>
        </row>
        <row r="859">
          <cell r="A859">
            <v>2395</v>
          </cell>
          <cell r="B859" t="str">
            <v>MASTER INDUSTRIES (U) LIMITED</v>
          </cell>
          <cell r="C859" t="str">
            <v>Kerbstone 250X150X1000 millimetres (Kerbstone Big)</v>
          </cell>
          <cell r="D859" t="str">
            <v>kerbstone 1m big</v>
          </cell>
          <cell r="E859" t="str">
            <v>piece</v>
          </cell>
          <cell r="F859" t="str">
            <v>Shillings</v>
          </cell>
          <cell r="G859"/>
        </row>
        <row r="860">
          <cell r="A860">
            <v>2395</v>
          </cell>
          <cell r="B860" t="str">
            <v>MASTER INDUSTRIES (U) LIMITED</v>
          </cell>
          <cell r="C860" t="str">
            <v>Pavers 80 millimetres Thickness</v>
          </cell>
          <cell r="D860" t="str">
            <v>light duty, pavers 80mm thickness</v>
          </cell>
          <cell r="E860" t="str">
            <v>sq metre</v>
          </cell>
          <cell r="F860" t="str">
            <v>Shillings</v>
          </cell>
          <cell r="G860"/>
        </row>
        <row r="861">
          <cell r="A861">
            <v>2395</v>
          </cell>
          <cell r="B861" t="str">
            <v>MASTER INDUSTRIES (U) LIMITED</v>
          </cell>
          <cell r="C861" t="str">
            <v>Pavers 60 millimetres Thickness</v>
          </cell>
          <cell r="D861" t="str">
            <v>light duty, pavers 60mm thickness</v>
          </cell>
          <cell r="E861" t="str">
            <v>sq metre</v>
          </cell>
          <cell r="F861" t="str">
            <v>Shillings</v>
          </cell>
          <cell r="G861"/>
        </row>
        <row r="862">
          <cell r="A862">
            <v>2395</v>
          </cell>
          <cell r="B862" t="str">
            <v>MASTER INDUSTRIES (U) LIMITED</v>
          </cell>
          <cell r="C862" t="str">
            <v>Block 8X8X16 (Solid)</v>
          </cell>
          <cell r="D862" t="str">
            <v>8*8*16 dust solid</v>
          </cell>
          <cell r="E862" t="str">
            <v>piece</v>
          </cell>
          <cell r="F862" t="str">
            <v>Shillings</v>
          </cell>
          <cell r="G862"/>
        </row>
        <row r="863">
          <cell r="A863">
            <v>2395</v>
          </cell>
          <cell r="B863" t="str">
            <v>GEBAL ENGINEERING LIMITED</v>
          </cell>
          <cell r="C863" t="str">
            <v>Terazo</v>
          </cell>
          <cell r="D863" t="str">
            <v>Terazo 0.8mm-12mm</v>
          </cell>
          <cell r="E863" t="str">
            <v>50 kg bag</v>
          </cell>
          <cell r="F863" t="str">
            <v>Shillings</v>
          </cell>
          <cell r="G863"/>
        </row>
        <row r="864">
          <cell r="A864">
            <v>2395</v>
          </cell>
          <cell r="B864" t="str">
            <v>GEBAL ENGINEERING LIMITED</v>
          </cell>
          <cell r="C864" t="str">
            <v>Colored powder</v>
          </cell>
          <cell r="D864" t="str">
            <v>250 mesh</v>
          </cell>
          <cell r="E864" t="str">
            <v>50 kg bag</v>
          </cell>
          <cell r="F864" t="str">
            <v>Shillings</v>
          </cell>
          <cell r="G864"/>
        </row>
        <row r="865">
          <cell r="A865">
            <v>2395</v>
          </cell>
          <cell r="B865" t="str">
            <v>GEBAL ENGINEERING LIMITED</v>
          </cell>
          <cell r="C865" t="str">
            <v>Colored powder</v>
          </cell>
          <cell r="D865" t="str">
            <v>300 mesh</v>
          </cell>
          <cell r="E865" t="str">
            <v>50 kg bag</v>
          </cell>
          <cell r="F865" t="str">
            <v>Shillings</v>
          </cell>
          <cell r="G865"/>
        </row>
        <row r="866">
          <cell r="A866">
            <v>2395</v>
          </cell>
          <cell r="B866" t="str">
            <v>GEBAL ENGINEERING LIMITED</v>
          </cell>
          <cell r="C866" t="str">
            <v>Colored powder</v>
          </cell>
          <cell r="D866" t="str">
            <v>400 mesh</v>
          </cell>
          <cell r="E866" t="str">
            <v>50 kg bag</v>
          </cell>
          <cell r="F866" t="str">
            <v>Shillings</v>
          </cell>
          <cell r="G866"/>
        </row>
        <row r="867">
          <cell r="A867">
            <v>2395</v>
          </cell>
          <cell r="B867" t="str">
            <v>GEBAL ENGINEERING LIMITED</v>
          </cell>
          <cell r="C867" t="str">
            <v>Colored powder</v>
          </cell>
          <cell r="D867" t="str">
            <v>500 mesh</v>
          </cell>
          <cell r="E867" t="str">
            <v>50 kg bag</v>
          </cell>
          <cell r="F867" t="str">
            <v>Shillings</v>
          </cell>
          <cell r="G867"/>
        </row>
        <row r="868">
          <cell r="A868">
            <v>2395</v>
          </cell>
          <cell r="B868" t="str">
            <v>TERRAZONE CONSTRUCTION INVESTMENTS LIMITED</v>
          </cell>
          <cell r="C868" t="str">
            <v>Blocks</v>
          </cell>
          <cell r="D868" t="str">
            <v>Solid blocks</v>
          </cell>
          <cell r="E868" t="str">
            <v>piece</v>
          </cell>
          <cell r="F868" t="str">
            <v>Shillings</v>
          </cell>
          <cell r="G868"/>
        </row>
        <row r="869">
          <cell r="A869">
            <v>2395</v>
          </cell>
          <cell r="B869" t="str">
            <v>TERRAZONE CONSTRUCTION INVESTMENTS LIMITED</v>
          </cell>
          <cell r="C869" t="str">
            <v>Blocks</v>
          </cell>
          <cell r="D869" t="str">
            <v>Hollow blocks</v>
          </cell>
          <cell r="E869" t="str">
            <v>piece</v>
          </cell>
          <cell r="F869" t="str">
            <v>Shillings</v>
          </cell>
          <cell r="G869"/>
        </row>
        <row r="870">
          <cell r="A870">
            <v>2395</v>
          </cell>
          <cell r="B870" t="str">
            <v>TERRAZONE CONSTRUCTION INVESTMENTS LIMITED</v>
          </cell>
          <cell r="C870" t="str">
            <v>Pavers</v>
          </cell>
          <cell r="D870" t="str">
            <v>Stone flowers</v>
          </cell>
          <cell r="E870" t="str">
            <v>piece</v>
          </cell>
          <cell r="F870" t="str">
            <v>Shillings</v>
          </cell>
          <cell r="G870"/>
        </row>
        <row r="871">
          <cell r="A871">
            <v>2395</v>
          </cell>
          <cell r="B871" t="str">
            <v>TERRAZONE CONSTRUCTION INVESTMENTS LIMITED</v>
          </cell>
          <cell r="C871" t="str">
            <v>Pavers</v>
          </cell>
          <cell r="D871" t="str">
            <v>S-shape pavers</v>
          </cell>
          <cell r="E871" t="str">
            <v>piece</v>
          </cell>
          <cell r="F871" t="str">
            <v>Shillings</v>
          </cell>
          <cell r="G871"/>
        </row>
        <row r="872">
          <cell r="A872">
            <v>2395</v>
          </cell>
          <cell r="B872" t="str">
            <v>TERRAZONE CONSTRUCTION INVESTMENTS LIMITED</v>
          </cell>
          <cell r="C872" t="str">
            <v>Pavers</v>
          </cell>
          <cell r="D872" t="str">
            <v>Reeta Pavers</v>
          </cell>
          <cell r="E872" t="str">
            <v>piece</v>
          </cell>
          <cell r="F872" t="str">
            <v>Shillings</v>
          </cell>
          <cell r="G872"/>
        </row>
        <row r="873">
          <cell r="A873">
            <v>2395</v>
          </cell>
          <cell r="B873" t="str">
            <v>TERRAZONE CONSTRUCTION INVESTMENTS LIMITED</v>
          </cell>
          <cell r="C873" t="str">
            <v>Pavers</v>
          </cell>
          <cell r="D873" t="str">
            <v>Double T pavers</v>
          </cell>
          <cell r="E873" t="str">
            <v>piece</v>
          </cell>
          <cell r="F873" t="str">
            <v>Shillings</v>
          </cell>
          <cell r="G873"/>
        </row>
        <row r="874">
          <cell r="A874">
            <v>2395</v>
          </cell>
          <cell r="B874" t="str">
            <v>TERRAZONE CONSTRUCTION INVESTMENTS LIMITED</v>
          </cell>
          <cell r="C874" t="str">
            <v>Kerbstone</v>
          </cell>
          <cell r="D874" t="str">
            <v>50cm/75cm</v>
          </cell>
          <cell r="E874" t="str">
            <v>piece</v>
          </cell>
          <cell r="F874" t="str">
            <v>Shillings</v>
          </cell>
          <cell r="G874"/>
        </row>
        <row r="875">
          <cell r="A875">
            <v>2395</v>
          </cell>
          <cell r="B875" t="str">
            <v>MUTEC SPUNPIPE CO.LTD</v>
          </cell>
          <cell r="C875" t="str">
            <v>Culverts</v>
          </cell>
          <cell r="D875" t="str">
            <v>300mmx1m Culvert</v>
          </cell>
          <cell r="E875" t="str">
            <v>Piece</v>
          </cell>
          <cell r="F875" t="str">
            <v>Shillings</v>
          </cell>
          <cell r="G875"/>
        </row>
        <row r="876">
          <cell r="A876">
            <v>2395</v>
          </cell>
          <cell r="B876" t="str">
            <v>MUTEC SPUNPIPE CO.LTD</v>
          </cell>
          <cell r="C876" t="str">
            <v>Culverts</v>
          </cell>
          <cell r="D876" t="str">
            <v>600mmx1m Culvert</v>
          </cell>
          <cell r="E876" t="str">
            <v>Piece</v>
          </cell>
          <cell r="F876" t="str">
            <v>Shillings</v>
          </cell>
          <cell r="G876"/>
        </row>
        <row r="877">
          <cell r="A877">
            <v>2395</v>
          </cell>
          <cell r="B877" t="str">
            <v>MUTEC SPUNPIPE CO.LTD</v>
          </cell>
          <cell r="C877" t="str">
            <v>Kerbs</v>
          </cell>
          <cell r="D877" t="str">
            <v xml:space="preserve">900mmx20m x125 x 100mm </v>
          </cell>
          <cell r="E877" t="str">
            <v>Piece</v>
          </cell>
          <cell r="F877" t="str">
            <v>Shillings</v>
          </cell>
          <cell r="G877"/>
        </row>
        <row r="878">
          <cell r="A878">
            <v>2395</v>
          </cell>
          <cell r="B878" t="str">
            <v>MUTEC SPUNPIPE CO.LTD</v>
          </cell>
          <cell r="C878" t="str">
            <v>Paving slab</v>
          </cell>
          <cell r="D878" t="str">
            <v>60mmx60mmx50 Slab</v>
          </cell>
          <cell r="E878" t="str">
            <v>Piece</v>
          </cell>
          <cell r="F878" t="str">
            <v>Shillings</v>
          </cell>
          <cell r="G878"/>
        </row>
        <row r="879">
          <cell r="A879">
            <v>2395</v>
          </cell>
          <cell r="B879" t="str">
            <v>MUKATI ENTERPRISES LTD</v>
          </cell>
          <cell r="C879" t="str">
            <v>Rings</v>
          </cell>
          <cell r="D879" t="str">
            <v>Rings-200cm</v>
          </cell>
          <cell r="E879" t="str">
            <v>Piece</v>
          </cell>
          <cell r="F879" t="str">
            <v>Shillings</v>
          </cell>
          <cell r="G879"/>
        </row>
        <row r="880">
          <cell r="A880">
            <v>2395</v>
          </cell>
          <cell r="B880" t="str">
            <v>MUKATI ENTERPRISES LTD</v>
          </cell>
          <cell r="C880" t="str">
            <v>Rings</v>
          </cell>
          <cell r="D880" t="str">
            <v>Rings-150cm</v>
          </cell>
          <cell r="E880" t="str">
            <v>Piece</v>
          </cell>
          <cell r="F880" t="str">
            <v>Shillings</v>
          </cell>
          <cell r="G880"/>
        </row>
        <row r="881">
          <cell r="A881">
            <v>2395</v>
          </cell>
          <cell r="B881" t="str">
            <v>MUKATI ENTERPRISES LTD</v>
          </cell>
          <cell r="C881" t="str">
            <v>Rings</v>
          </cell>
          <cell r="D881" t="str">
            <v>Rings-120cm</v>
          </cell>
          <cell r="E881" t="str">
            <v>Piece</v>
          </cell>
          <cell r="F881" t="str">
            <v>Shillings</v>
          </cell>
          <cell r="G881"/>
        </row>
        <row r="882">
          <cell r="A882">
            <v>2395</v>
          </cell>
          <cell r="B882" t="str">
            <v>MUKATI ENTERPRISES LTD</v>
          </cell>
          <cell r="C882" t="str">
            <v>Slabs</v>
          </cell>
          <cell r="D882" t="str">
            <v>Squat Slabs</v>
          </cell>
          <cell r="E882" t="str">
            <v>Piece</v>
          </cell>
          <cell r="F882" t="str">
            <v>Shillings</v>
          </cell>
          <cell r="G882"/>
        </row>
        <row r="883">
          <cell r="A883">
            <v>2395</v>
          </cell>
          <cell r="B883" t="str">
            <v>MUKATI ENTERPRISES LTD</v>
          </cell>
          <cell r="C883" t="str">
            <v>Slabs</v>
          </cell>
          <cell r="D883" t="str">
            <v>Sanitary Slabs</v>
          </cell>
          <cell r="E883" t="str">
            <v>Piece</v>
          </cell>
          <cell r="F883" t="str">
            <v>Shillings</v>
          </cell>
          <cell r="G883"/>
        </row>
        <row r="884">
          <cell r="A884">
            <v>2395</v>
          </cell>
          <cell r="B884" t="str">
            <v>MUKATI ENTERPRISES LTD</v>
          </cell>
          <cell r="C884" t="str">
            <v>Tiles</v>
          </cell>
          <cell r="D884" t="str">
            <v>Step Tiles-Big</v>
          </cell>
          <cell r="E884" t="str">
            <v>Piece</v>
          </cell>
          <cell r="F884" t="str">
            <v>Shillings</v>
          </cell>
          <cell r="G884"/>
        </row>
        <row r="885">
          <cell r="A885">
            <v>2395</v>
          </cell>
          <cell r="B885" t="str">
            <v>MUKATI ENTERPRISES LTD</v>
          </cell>
          <cell r="C885" t="str">
            <v>Blocks</v>
          </cell>
          <cell r="D885" t="str">
            <v>Pavement Blocks-big</v>
          </cell>
          <cell r="E885" t="str">
            <v>Piece</v>
          </cell>
          <cell r="F885" t="str">
            <v>Shillings</v>
          </cell>
          <cell r="G885"/>
        </row>
        <row r="886">
          <cell r="A886">
            <v>2395</v>
          </cell>
          <cell r="B886" t="str">
            <v>MUKATI ENTERPRISES LTD</v>
          </cell>
          <cell r="C886" t="str">
            <v>Blocks</v>
          </cell>
          <cell r="D886" t="str">
            <v>Sand Blocks-big</v>
          </cell>
          <cell r="E886" t="str">
            <v>Piece</v>
          </cell>
          <cell r="F886" t="str">
            <v>Shillings</v>
          </cell>
          <cell r="G886"/>
        </row>
        <row r="887">
          <cell r="A887">
            <v>2395</v>
          </cell>
          <cell r="B887" t="str">
            <v>MUKATI ENTERPRISES LTD</v>
          </cell>
          <cell r="C887" t="str">
            <v>Stones</v>
          </cell>
          <cell r="D887" t="str">
            <v>Mark stones-big</v>
          </cell>
          <cell r="E887" t="str">
            <v>Piece</v>
          </cell>
          <cell r="F887" t="str">
            <v>Shillings</v>
          </cell>
          <cell r="G887"/>
        </row>
        <row r="888">
          <cell r="A888">
            <v>2395</v>
          </cell>
          <cell r="B888" t="str">
            <v>KADECO CONCRETE LTD</v>
          </cell>
          <cell r="C888" t="str">
            <v>Blocks</v>
          </cell>
          <cell r="D888" t="str">
            <v>Solid Blocks of 400*200*200</v>
          </cell>
          <cell r="E888" t="str">
            <v>Piece</v>
          </cell>
          <cell r="F888" t="str">
            <v>Shillings</v>
          </cell>
          <cell r="G888"/>
        </row>
        <row r="889">
          <cell r="A889">
            <v>2395</v>
          </cell>
          <cell r="B889" t="str">
            <v>KADECO CONCRETE LTD</v>
          </cell>
          <cell r="C889" t="str">
            <v>Blocks</v>
          </cell>
          <cell r="D889" t="str">
            <v>Hollow Blocks of 400*200*200</v>
          </cell>
          <cell r="E889" t="str">
            <v>Piece</v>
          </cell>
          <cell r="F889" t="str">
            <v>Shillings</v>
          </cell>
          <cell r="G889"/>
        </row>
        <row r="890">
          <cell r="A890">
            <v>2395</v>
          </cell>
          <cell r="B890" t="str">
            <v>KADECO CONCRETE LTD</v>
          </cell>
          <cell r="C890" t="str">
            <v>Blocks</v>
          </cell>
          <cell r="D890" t="str">
            <v>Solid Blocks of 390*190*150</v>
          </cell>
          <cell r="E890" t="str">
            <v>Piece</v>
          </cell>
          <cell r="F890" t="str">
            <v>Shillings</v>
          </cell>
          <cell r="G890"/>
        </row>
        <row r="891">
          <cell r="A891">
            <v>2395</v>
          </cell>
          <cell r="B891" t="str">
            <v>KADECO CONCRETE LTD</v>
          </cell>
          <cell r="C891" t="str">
            <v>Blocks</v>
          </cell>
          <cell r="D891" t="str">
            <v>Hollow Blocks of 390*190*150</v>
          </cell>
          <cell r="E891" t="str">
            <v>Piece</v>
          </cell>
          <cell r="F891" t="str">
            <v>Shillings</v>
          </cell>
          <cell r="G891"/>
        </row>
        <row r="892">
          <cell r="A892">
            <v>2395</v>
          </cell>
          <cell r="B892" t="str">
            <v>KADECO CONCRETE LTD</v>
          </cell>
          <cell r="C892" t="str">
            <v>Kerbs</v>
          </cell>
          <cell r="D892" t="str">
            <v>Curb Stones of 810*200*110mm</v>
          </cell>
          <cell r="E892" t="str">
            <v>Piece</v>
          </cell>
          <cell r="F892" t="str">
            <v>Shillings</v>
          </cell>
          <cell r="G892"/>
        </row>
        <row r="893">
          <cell r="A893">
            <v>2395</v>
          </cell>
          <cell r="B893" t="str">
            <v>KADECO CONCRETE LTD</v>
          </cell>
          <cell r="C893" t="str">
            <v>Kerbs</v>
          </cell>
          <cell r="D893" t="str">
            <v>Curb Stones of 500*300*150mm</v>
          </cell>
          <cell r="E893" t="str">
            <v>Piece</v>
          </cell>
          <cell r="F893" t="str">
            <v>Shillings</v>
          </cell>
          <cell r="G893"/>
        </row>
        <row r="894">
          <cell r="A894">
            <v>2395</v>
          </cell>
          <cell r="B894" t="str">
            <v>KADECO CONCRETE LTD</v>
          </cell>
          <cell r="C894" t="str">
            <v>Pavers</v>
          </cell>
          <cell r="D894" t="str">
            <v>Pavers of 60mm</v>
          </cell>
          <cell r="E894" t="str">
            <v>Square Meters</v>
          </cell>
          <cell r="F894" t="str">
            <v>Shillings</v>
          </cell>
          <cell r="G894"/>
        </row>
        <row r="895">
          <cell r="A895">
            <v>2395</v>
          </cell>
          <cell r="B895" t="str">
            <v>KADECO CONCRETE LTD</v>
          </cell>
          <cell r="C895" t="str">
            <v>Pavers</v>
          </cell>
          <cell r="D895" t="str">
            <v>Pavers of 80mm</v>
          </cell>
          <cell r="E895" t="str">
            <v>Square Meters</v>
          </cell>
          <cell r="F895" t="str">
            <v>Shillings</v>
          </cell>
          <cell r="G895"/>
        </row>
        <row r="896">
          <cell r="G896"/>
        </row>
        <row r="897">
          <cell r="B897" t="str">
            <v>Manufacture of basic metals</v>
          </cell>
        </row>
        <row r="898">
          <cell r="A898" t="str">
            <v>2410</v>
          </cell>
          <cell r="B898" t="str">
            <v xml:space="preserve"> Manufacture of basic iron and steel</v>
          </cell>
          <cell r="F898" t="str">
            <v>Index</v>
          </cell>
          <cell r="G898">
            <v>46.9277066066388</v>
          </cell>
        </row>
        <row r="899">
          <cell r="B899" t="str">
            <v xml:space="preserve"> Manufacture of basic iron and steel</v>
          </cell>
          <cell r="F899" t="str">
            <v>Geomean</v>
          </cell>
          <cell r="G899"/>
        </row>
        <row r="900">
          <cell r="A900">
            <v>2410</v>
          </cell>
          <cell r="B900" t="str">
            <v>ROOFINGS LIMITED</v>
          </cell>
          <cell r="C900" t="str">
            <v xml:space="preserve">Azed  Sheets(G.I Sheet) </v>
          </cell>
          <cell r="D900" t="str">
            <v>Roofing Sheets galvanised gauge 30 (G-30)</v>
          </cell>
          <cell r="E900" t="str">
            <v>tonne</v>
          </cell>
          <cell r="F900" t="str">
            <v>Shillings</v>
          </cell>
          <cell r="G900"/>
        </row>
        <row r="901">
          <cell r="A901">
            <v>2410</v>
          </cell>
          <cell r="B901" t="str">
            <v>ROOFINGS LIMITED</v>
          </cell>
          <cell r="C901" t="str">
            <v>Prepainted sheet Supertile Gauge 28 (G-28) PPAZ</v>
          </cell>
          <cell r="D901" t="str">
            <v>Roofing sheetsprepainted gauge 28(G-28)</v>
          </cell>
          <cell r="E901" t="str">
            <v>tonne</v>
          </cell>
          <cell r="F901" t="str">
            <v>Shillings</v>
          </cell>
          <cell r="G901"/>
        </row>
        <row r="902">
          <cell r="A902">
            <v>2410</v>
          </cell>
          <cell r="B902" t="str">
            <v>ROOFINGS LIMITED</v>
          </cell>
          <cell r="C902" t="str">
            <v>Bar</v>
          </cell>
          <cell r="D902" t="str">
            <v>Round Bars (8 mm)</v>
          </cell>
          <cell r="E902" t="str">
            <v>tonne</v>
          </cell>
          <cell r="F902" t="str">
            <v>Shillings</v>
          </cell>
          <cell r="G902"/>
        </row>
        <row r="903">
          <cell r="A903">
            <v>2410</v>
          </cell>
          <cell r="B903" t="str">
            <v>ROOFINGS LIMITED</v>
          </cell>
          <cell r="C903" t="str">
            <v>Bar</v>
          </cell>
          <cell r="D903" t="str">
            <v>Round Bars (4 mm)</v>
          </cell>
          <cell r="E903"/>
          <cell r="F903" t="str">
            <v>Shillings</v>
          </cell>
          <cell r="G903"/>
        </row>
        <row r="904">
          <cell r="A904">
            <v>2410</v>
          </cell>
          <cell r="B904" t="str">
            <v>UGANDA BAATI LIMITED</v>
          </cell>
          <cell r="C904" t="str">
            <v>Iron sheets (Damuzaz)</v>
          </cell>
          <cell r="D904" t="str">
            <v>G-30 Sheets(galvanised)</v>
          </cell>
          <cell r="E904" t="str">
            <v>Piece</v>
          </cell>
          <cell r="F904" t="str">
            <v>Shillings</v>
          </cell>
          <cell r="G904"/>
        </row>
        <row r="905">
          <cell r="A905">
            <v>2410</v>
          </cell>
          <cell r="B905" t="str">
            <v>UGANDA BAATI LIMITED</v>
          </cell>
          <cell r="C905" t="str">
            <v>Iron sheets (Damuzaz)</v>
          </cell>
          <cell r="D905" t="str">
            <v>G-32 sheets(Lion brand)</v>
          </cell>
          <cell r="E905" t="str">
            <v>Piece</v>
          </cell>
          <cell r="F905" t="str">
            <v>Shillings</v>
          </cell>
          <cell r="G905"/>
        </row>
        <row r="906">
          <cell r="A906">
            <v>2410</v>
          </cell>
          <cell r="B906" t="str">
            <v>UGANDA BAATI LIMITED</v>
          </cell>
          <cell r="C906" t="str">
            <v>Ridges Coloured (Dumuzaz)</v>
          </cell>
          <cell r="D906" t="str">
            <v>G-28 Ridges Coloured (Dumuzaz)</v>
          </cell>
          <cell r="E906" t="str">
            <v>Piece</v>
          </cell>
          <cell r="F906" t="str">
            <v>Shillings</v>
          </cell>
          <cell r="G906"/>
        </row>
        <row r="907">
          <cell r="A907">
            <v>2410</v>
          </cell>
          <cell r="B907" t="str">
            <v>UGANDA BAATI LIMITED</v>
          </cell>
          <cell r="C907" t="str">
            <v>Romantile/Vesartile Matt</v>
          </cell>
          <cell r="D907" t="str">
            <v>Gauge 28</v>
          </cell>
          <cell r="E907" t="str">
            <v>Piece</v>
          </cell>
          <cell r="F907" t="str">
            <v>Shillings</v>
          </cell>
          <cell r="G907"/>
        </row>
        <row r="908">
          <cell r="A908">
            <v>2410</v>
          </cell>
          <cell r="B908" t="str">
            <v>UGANDA BAATI LIMITED</v>
          </cell>
          <cell r="C908" t="str">
            <v>Covermax</v>
          </cell>
          <cell r="D908" t="str">
            <v>G30 coloured</v>
          </cell>
          <cell r="E908" t="str">
            <v>Piece</v>
          </cell>
          <cell r="F908" t="str">
            <v>Shillings</v>
          </cell>
          <cell r="G908"/>
        </row>
        <row r="909">
          <cell r="A909">
            <v>2410</v>
          </cell>
          <cell r="B909" t="str">
            <v>UGANDA BAATI LIMITED</v>
          </cell>
          <cell r="C909" t="str">
            <v xml:space="preserve">Hirib </v>
          </cell>
          <cell r="D909" t="str">
            <v>IT4 ( industrial Trough)</v>
          </cell>
          <cell r="E909" t="str">
            <v>Piece</v>
          </cell>
          <cell r="F909" t="str">
            <v>Shillings</v>
          </cell>
          <cell r="G909"/>
        </row>
        <row r="910">
          <cell r="A910">
            <v>2410</v>
          </cell>
          <cell r="B910" t="str">
            <v>UGANDA BAATI LIMITED</v>
          </cell>
          <cell r="C910" t="str">
            <v>Ridges Matt 28 G</v>
          </cell>
          <cell r="D910" t="str">
            <v xml:space="preserve">Gauge 28 </v>
          </cell>
          <cell r="E910" t="str">
            <v>Piece</v>
          </cell>
          <cell r="F910" t="str">
            <v>Shillings</v>
          </cell>
          <cell r="G910"/>
        </row>
        <row r="911">
          <cell r="A911">
            <v>2410</v>
          </cell>
          <cell r="B911" t="str">
            <v>UGANDA BAATI LIMITED</v>
          </cell>
          <cell r="C911" t="str">
            <v>Ms Plates</v>
          </cell>
          <cell r="D911" t="str">
            <v>1mm Iron Plates</v>
          </cell>
          <cell r="E911" t="str">
            <v>Piece</v>
          </cell>
          <cell r="F911" t="str">
            <v>Shillings</v>
          </cell>
          <cell r="G911"/>
        </row>
        <row r="912">
          <cell r="A912">
            <v>2410</v>
          </cell>
          <cell r="B912" t="str">
            <v>UGANDA BAATI LIMITED</v>
          </cell>
          <cell r="C912" t="str">
            <v>Hollow Sections</v>
          </cell>
          <cell r="D912" t="str">
            <v>40*25*2</v>
          </cell>
          <cell r="E912" t="str">
            <v>Piece</v>
          </cell>
          <cell r="F912" t="str">
            <v>Shillings</v>
          </cell>
          <cell r="G912"/>
        </row>
        <row r="913">
          <cell r="A913">
            <v>2410</v>
          </cell>
          <cell r="B913" t="str">
            <v>UGANDA BAATI LIMITED</v>
          </cell>
          <cell r="C913" t="str">
            <v>Hollow Sections</v>
          </cell>
          <cell r="D913" t="str">
            <v>60*40*6</v>
          </cell>
          <cell r="E913" t="str">
            <v>Piece</v>
          </cell>
          <cell r="F913" t="str">
            <v>Shillings</v>
          </cell>
          <cell r="G913"/>
        </row>
        <row r="914">
          <cell r="A914">
            <v>2410</v>
          </cell>
          <cell r="B914" t="str">
            <v>UGANDA BAATI LIMITED</v>
          </cell>
          <cell r="C914" t="str">
            <v>NC Plain</v>
          </cell>
          <cell r="D914" t="str">
            <v>Gauge 30</v>
          </cell>
          <cell r="E914" t="str">
            <v>Piece</v>
          </cell>
          <cell r="F914" t="str">
            <v>Shillings</v>
          </cell>
          <cell r="G914"/>
        </row>
        <row r="915">
          <cell r="A915">
            <v>2410</v>
          </cell>
          <cell r="B915" t="str">
            <v>UGANDA BAATI LIMITED</v>
          </cell>
          <cell r="C915" t="str">
            <v>Valley Matt</v>
          </cell>
          <cell r="D915" t="str">
            <v>Gauge 28</v>
          </cell>
          <cell r="E915" t="str">
            <v>Piece</v>
          </cell>
          <cell r="F915" t="str">
            <v>Shillings</v>
          </cell>
          <cell r="G915"/>
        </row>
        <row r="916">
          <cell r="A916">
            <v>2410</v>
          </cell>
          <cell r="B916" t="str">
            <v>MM INTERGRATED STEEL MILLS (UGANDA) LIMITED</v>
          </cell>
          <cell r="C916" t="str">
            <v>Roofing sheets</v>
          </cell>
          <cell r="D916" t="str">
            <v>G.I Corrugated (g-30,28,26)</v>
          </cell>
          <cell r="E916" t="str">
            <v>bundle of 20 pieces</v>
          </cell>
          <cell r="F916" t="str">
            <v>Shillings</v>
          </cell>
          <cell r="G916"/>
        </row>
        <row r="917">
          <cell r="A917">
            <v>2410</v>
          </cell>
          <cell r="B917" t="str">
            <v>MM INTERGRATED STEEL MILLS (UGANDA) LIMITED</v>
          </cell>
          <cell r="C917" t="str">
            <v>Roofing sheets</v>
          </cell>
          <cell r="D917" t="str">
            <v>PPGI G-30</v>
          </cell>
          <cell r="E917" t="str">
            <v>per sheet</v>
          </cell>
          <cell r="F917" t="str">
            <v>Shillings</v>
          </cell>
          <cell r="G917"/>
        </row>
        <row r="918">
          <cell r="A918">
            <v>2410</v>
          </cell>
          <cell r="B918" t="str">
            <v>MM INTERGRATED STEEL MILLS (UGANDA) LIMITED</v>
          </cell>
          <cell r="C918" t="str">
            <v>Roofing sheets</v>
          </cell>
          <cell r="D918" t="str">
            <v>IT5</v>
          </cell>
          <cell r="E918" t="str">
            <v>bundle of 20 pieces</v>
          </cell>
          <cell r="F918" t="str">
            <v>Shillings</v>
          </cell>
          <cell r="G918"/>
        </row>
        <row r="919">
          <cell r="A919">
            <v>2410</v>
          </cell>
          <cell r="B919" t="str">
            <v>MM INTERGRATED STEEL MILLS (UGANDA) LIMITED</v>
          </cell>
          <cell r="C919" t="str">
            <v>Roofing sheets</v>
          </cell>
          <cell r="D919" t="str">
            <v>MAXTILES</v>
          </cell>
          <cell r="E919" t="str">
            <v>bundle of 12 pieces</v>
          </cell>
          <cell r="F919" t="str">
            <v>Shillings</v>
          </cell>
          <cell r="G919"/>
        </row>
        <row r="920">
          <cell r="A920">
            <v>2410</v>
          </cell>
          <cell r="B920" t="str">
            <v>MM INTERGRATED STEEL MILLS (UGANDA) LIMITED</v>
          </cell>
          <cell r="C920" t="str">
            <v>Hollow Sections</v>
          </cell>
          <cell r="D920" t="str">
            <v>Rectangular hollow section 20 ft</v>
          </cell>
          <cell r="E920" t="str">
            <v>ton</v>
          </cell>
          <cell r="F920" t="str">
            <v>Shillings</v>
          </cell>
          <cell r="G920"/>
        </row>
        <row r="921">
          <cell r="A921">
            <v>2410</v>
          </cell>
          <cell r="B921" t="str">
            <v>MM INTERGRATED STEEL MILLS (UGANDA) LIMITED</v>
          </cell>
          <cell r="C921" t="str">
            <v>Hollow Sections</v>
          </cell>
          <cell r="D921" t="str">
            <v>Round</v>
          </cell>
          <cell r="E921" t="str">
            <v>ton</v>
          </cell>
          <cell r="F921" t="str">
            <v>Shillings</v>
          </cell>
          <cell r="G921"/>
        </row>
        <row r="922">
          <cell r="A922">
            <v>2410</v>
          </cell>
          <cell r="B922" t="str">
            <v>MM INTERGRATED STEEL MILLS (UGANDA) LIMITED</v>
          </cell>
          <cell r="C922" t="str">
            <v>Hollow Sections</v>
          </cell>
          <cell r="D922" t="str">
            <v>Square</v>
          </cell>
          <cell r="E922" t="str">
            <v>ton</v>
          </cell>
          <cell r="F922" t="str">
            <v>Shillings</v>
          </cell>
          <cell r="G922"/>
        </row>
        <row r="923">
          <cell r="A923">
            <v>2410</v>
          </cell>
          <cell r="B923" t="str">
            <v>MM INTERGRATED STEEL MILLS (UGANDA) LIMITED</v>
          </cell>
          <cell r="C923" t="str">
            <v>MS plate</v>
          </cell>
          <cell r="D923" t="str">
            <v>1mm chequred plates</v>
          </cell>
          <cell r="E923" t="str">
            <v>piece</v>
          </cell>
          <cell r="F923" t="str">
            <v>Shillings</v>
          </cell>
          <cell r="G923"/>
        </row>
        <row r="924">
          <cell r="A924">
            <v>2410</v>
          </cell>
          <cell r="B924" t="str">
            <v>MM INTERGRATED STEEL MILLS (UGANDA) LIMITED</v>
          </cell>
          <cell r="C924" t="str">
            <v>MS plate</v>
          </cell>
          <cell r="D924" t="str">
            <v>PLAIN</v>
          </cell>
          <cell r="E924" t="str">
            <v>piece</v>
          </cell>
          <cell r="F924" t="str">
            <v>Shillings</v>
          </cell>
          <cell r="G924"/>
        </row>
        <row r="925">
          <cell r="A925">
            <v>2410</v>
          </cell>
          <cell r="B925" t="str">
            <v>MM INTERGRATED STEEL MILLS (UGANDA) LIMITED</v>
          </cell>
          <cell r="C925" t="str">
            <v>Steel nails</v>
          </cell>
          <cell r="D925" t="str">
            <v>Nails 6 inches</v>
          </cell>
          <cell r="E925" t="str">
            <v>50kg bag</v>
          </cell>
          <cell r="F925" t="str">
            <v>Shillings</v>
          </cell>
          <cell r="G925"/>
        </row>
        <row r="926">
          <cell r="A926">
            <v>2410</v>
          </cell>
          <cell r="B926" t="str">
            <v>MM INTERGRATED STEEL MILLS (UGANDA) LIMITED</v>
          </cell>
          <cell r="C926" t="str">
            <v>Steel nails</v>
          </cell>
          <cell r="D926" t="str">
            <v>Nails 5 inches</v>
          </cell>
          <cell r="E926" t="str">
            <v>50kg bag</v>
          </cell>
          <cell r="F926" t="str">
            <v>Shillings</v>
          </cell>
          <cell r="G926"/>
        </row>
        <row r="927">
          <cell r="A927">
            <v>2410</v>
          </cell>
          <cell r="B927" t="str">
            <v>MM INTERGRATED STEEL MILLS (UGANDA) LIMITED</v>
          </cell>
          <cell r="C927" t="str">
            <v>Steel nails</v>
          </cell>
          <cell r="D927" t="str">
            <v>Nails 1 and 1/2 inches</v>
          </cell>
          <cell r="E927" t="str">
            <v>50kg bag</v>
          </cell>
          <cell r="F927" t="str">
            <v>Shillings</v>
          </cell>
          <cell r="G927"/>
        </row>
        <row r="928">
          <cell r="A928">
            <v>2410</v>
          </cell>
          <cell r="B928" t="str">
            <v>PRAMUKH LTD</v>
          </cell>
          <cell r="C928" t="str">
            <v>TMT Rebars</v>
          </cell>
          <cell r="D928" t="str">
            <v>8mm bars</v>
          </cell>
          <cell r="E928" t="str">
            <v>Piece</v>
          </cell>
          <cell r="F928" t="str">
            <v>Shillings</v>
          </cell>
          <cell r="G928"/>
        </row>
        <row r="929">
          <cell r="A929">
            <v>2410</v>
          </cell>
          <cell r="B929" t="str">
            <v>PRAMUKH LTD</v>
          </cell>
          <cell r="C929" t="str">
            <v>TMT Iron Rebars</v>
          </cell>
          <cell r="D929" t="str">
            <v>10mm bars</v>
          </cell>
          <cell r="E929" t="str">
            <v>Piece</v>
          </cell>
          <cell r="F929" t="str">
            <v>Shillings</v>
          </cell>
          <cell r="G929"/>
        </row>
        <row r="930">
          <cell r="A930">
            <v>2410</v>
          </cell>
          <cell r="B930" t="str">
            <v>PRAMUKH LTD</v>
          </cell>
          <cell r="C930" t="str">
            <v>TMT Iron Rebars</v>
          </cell>
          <cell r="D930" t="str">
            <v>12mm bars</v>
          </cell>
          <cell r="E930" t="str">
            <v>Piece</v>
          </cell>
          <cell r="F930" t="str">
            <v>Shillings</v>
          </cell>
          <cell r="G930"/>
        </row>
        <row r="931">
          <cell r="A931">
            <v>2410</v>
          </cell>
          <cell r="B931" t="str">
            <v>PRAMUKH LTD</v>
          </cell>
          <cell r="C931" t="str">
            <v>TMT Iron Rebars</v>
          </cell>
          <cell r="D931" t="str">
            <v>16mm bars</v>
          </cell>
          <cell r="E931" t="str">
            <v>Piece</v>
          </cell>
          <cell r="F931" t="str">
            <v>Shillings</v>
          </cell>
          <cell r="G931"/>
        </row>
        <row r="932">
          <cell r="A932">
            <v>2410</v>
          </cell>
          <cell r="B932" t="str">
            <v>PRAMUKH LTD</v>
          </cell>
          <cell r="C932" t="str">
            <v>TMT Iron Rebars</v>
          </cell>
          <cell r="D932" t="str">
            <v>20mm bars</v>
          </cell>
          <cell r="E932" t="str">
            <v>Piece</v>
          </cell>
          <cell r="F932" t="str">
            <v>Shillings</v>
          </cell>
          <cell r="G932"/>
        </row>
        <row r="933">
          <cell r="A933">
            <v>2410</v>
          </cell>
          <cell r="B933" t="str">
            <v>PRAMUKH LTD</v>
          </cell>
          <cell r="C933" t="str">
            <v>TMT Iron Rebars</v>
          </cell>
          <cell r="D933" t="str">
            <v>25mm bars</v>
          </cell>
          <cell r="E933" t="str">
            <v>Piece</v>
          </cell>
          <cell r="F933" t="str">
            <v>Shillings</v>
          </cell>
          <cell r="G933"/>
        </row>
        <row r="934">
          <cell r="A934">
            <v>2410</v>
          </cell>
          <cell r="B934" t="str">
            <v>EAST AFRICAN ROOFING SYSTEMS (EARS) LIMITED</v>
          </cell>
          <cell r="C934" t="str">
            <v>Tiger Pre-painted sheets</v>
          </cell>
          <cell r="D934" t="str">
            <v>Tiger Pre-painted sheets</v>
          </cell>
          <cell r="E934" t="str">
            <v>per metre</v>
          </cell>
          <cell r="F934" t="str">
            <v>Shillings</v>
          </cell>
          <cell r="G934"/>
        </row>
        <row r="935">
          <cell r="A935">
            <v>2410</v>
          </cell>
          <cell r="B935" t="str">
            <v>EAST AFRICAN ROOFING SYSTEMS (EARS) LIMITED</v>
          </cell>
          <cell r="C935" t="str">
            <v>Tiger Tile Sheets malt (Wrinkle)</v>
          </cell>
          <cell r="D935" t="str">
            <v>Tiger Tile Sheets malt (Wrinkle)</v>
          </cell>
          <cell r="E935" t="str">
            <v>per metre</v>
          </cell>
          <cell r="F935" t="str">
            <v>Shillings</v>
          </cell>
          <cell r="G935"/>
        </row>
        <row r="936">
          <cell r="A936">
            <v>2410</v>
          </cell>
          <cell r="B936" t="str">
            <v>EAST AFRICAN ROOFING SYSTEMS (EARS) LIMITED</v>
          </cell>
          <cell r="C936" t="str">
            <v>Super Tiger Sheets</v>
          </cell>
          <cell r="D936" t="str">
            <v>Super Tiger Sheets</v>
          </cell>
          <cell r="E936" t="str">
            <v>per metre</v>
          </cell>
          <cell r="F936" t="str">
            <v>Shillings</v>
          </cell>
          <cell r="G936"/>
        </row>
        <row r="937">
          <cell r="A937">
            <v>2410</v>
          </cell>
          <cell r="B937" t="str">
            <v>EAST AFRICAN ROOFING SYSTEMS (EARS) LIMITED</v>
          </cell>
          <cell r="C937" t="str">
            <v>Nails</v>
          </cell>
          <cell r="D937" t="str">
            <v>3inches</v>
          </cell>
          <cell r="E937" t="str">
            <v>50kg bag</v>
          </cell>
          <cell r="F937" t="str">
            <v>Shillings</v>
          </cell>
          <cell r="G937"/>
        </row>
        <row r="938">
          <cell r="A938">
            <v>2410</v>
          </cell>
          <cell r="B938" t="str">
            <v>EAST AFRICAN ROOFING SYSTEMS (EARS) LIMITED</v>
          </cell>
          <cell r="C938" t="str">
            <v>Expanded Metal</v>
          </cell>
          <cell r="D938" t="str">
            <v>Bundle of 7 pieces</v>
          </cell>
          <cell r="E938" t="str">
            <v>bundle`</v>
          </cell>
          <cell r="F938" t="str">
            <v>Shillings</v>
          </cell>
          <cell r="G938"/>
        </row>
        <row r="939">
          <cell r="A939">
            <v>2410</v>
          </cell>
          <cell r="B939" t="str">
            <v>EAST AFRICAN ROOFING SYSTEMS (EARS) LIMITED</v>
          </cell>
          <cell r="C939" t="str">
            <v>Barbed wire</v>
          </cell>
          <cell r="D939" t="str">
            <v>G16 *20 kg</v>
          </cell>
          <cell r="E939" t="str">
            <v>20 Kg roll of gauge 16</v>
          </cell>
          <cell r="F939" t="str">
            <v>Shillings</v>
          </cell>
          <cell r="G939"/>
        </row>
        <row r="940">
          <cell r="A940">
            <v>2410</v>
          </cell>
          <cell r="B940" t="str">
            <v>STEEL CORPORATION OF EAST AFRICA LIMITED (MADHVANI GROUP LIMITED STEEL DIVISION)</v>
          </cell>
          <cell r="C940" t="str">
            <v>Madhvani TMT Bars</v>
          </cell>
          <cell r="D940" t="str">
            <v>8 mm TMT Bars</v>
          </cell>
          <cell r="E940" t="str">
            <v>Tonne</v>
          </cell>
          <cell r="F940" t="str">
            <v>Shillings</v>
          </cell>
          <cell r="G940"/>
        </row>
        <row r="941">
          <cell r="A941">
            <v>2410</v>
          </cell>
          <cell r="B941" t="str">
            <v>STEEL CORPORATION OF EAST AFRICA LIMITED (MADHVANI GROUP LIMITED STEEL DIVISION)</v>
          </cell>
          <cell r="C941" t="str">
            <v>Madhvani TMT Bars</v>
          </cell>
          <cell r="D941" t="str">
            <v>12 mm TMT Bars</v>
          </cell>
          <cell r="E941" t="str">
            <v>Tonne</v>
          </cell>
          <cell r="F941" t="str">
            <v>Shillings</v>
          </cell>
          <cell r="G941"/>
        </row>
        <row r="942">
          <cell r="A942">
            <v>2410</v>
          </cell>
          <cell r="B942" t="str">
            <v>STEEL CORPORATION OF EAST AFRICA LIMITED (MADHVANI GROUP LIMITED STEEL DIVISION)</v>
          </cell>
          <cell r="C942" t="str">
            <v>Madhvani TMT Bars</v>
          </cell>
          <cell r="D942" t="str">
            <v>10 mm TMT Bars</v>
          </cell>
          <cell r="E942" t="str">
            <v>Tonne</v>
          </cell>
          <cell r="F942" t="str">
            <v>Shillings</v>
          </cell>
          <cell r="G942"/>
        </row>
        <row r="943">
          <cell r="A943">
            <v>2410</v>
          </cell>
          <cell r="B943" t="str">
            <v>TORORO CEMENT INDUSTRY LIMITED</v>
          </cell>
          <cell r="C943" t="str">
            <v>Iron Sheets</v>
          </cell>
          <cell r="D943" t="str">
            <v>gauge-30</v>
          </cell>
          <cell r="E943" t="str">
            <v>piece</v>
          </cell>
          <cell r="F943" t="str">
            <v>Shillings</v>
          </cell>
          <cell r="G943"/>
        </row>
        <row r="944">
          <cell r="A944">
            <v>2410</v>
          </cell>
          <cell r="B944" t="str">
            <v>TORORO CEMENT INDUSTRY LIMITED</v>
          </cell>
          <cell r="C944" t="str">
            <v>Iron Sheets</v>
          </cell>
          <cell r="D944" t="str">
            <v>gauge-32</v>
          </cell>
          <cell r="E944" t="str">
            <v>piece</v>
          </cell>
          <cell r="F944" t="str">
            <v>Shillings</v>
          </cell>
          <cell r="G944"/>
        </row>
        <row r="945">
          <cell r="A945">
            <v>2410</v>
          </cell>
          <cell r="B945" t="str">
            <v>TORORO CEMENT INDUSTRY LIMITED</v>
          </cell>
          <cell r="C945" t="str">
            <v>Iron Sheets</v>
          </cell>
          <cell r="D945" t="str">
            <v>gauge-28</v>
          </cell>
          <cell r="E945" t="str">
            <v>piece</v>
          </cell>
          <cell r="F945" t="str">
            <v>Shillings</v>
          </cell>
          <cell r="G945"/>
        </row>
        <row r="946">
          <cell r="G946"/>
        </row>
        <row r="947">
          <cell r="B947"/>
          <cell r="G947"/>
        </row>
        <row r="948">
          <cell r="B948" t="str">
            <v>Manufacture of other fabricated metal products; metalworking service activities</v>
          </cell>
          <cell r="G948"/>
        </row>
        <row r="949">
          <cell r="A949" t="str">
            <v>2599</v>
          </cell>
          <cell r="B949" t="str">
            <v xml:space="preserve"> Manufacture of other fabricated metal products n.e.c.</v>
          </cell>
          <cell r="C949"/>
          <cell r="F949" t="str">
            <v>Index</v>
          </cell>
          <cell r="G949">
            <v>31.266363843842001</v>
          </cell>
        </row>
        <row r="950">
          <cell r="B950" t="str">
            <v xml:space="preserve"> Manufacture of other fabricated metal products n.e.c.</v>
          </cell>
          <cell r="C950"/>
          <cell r="F950" t="str">
            <v>Geomean</v>
          </cell>
          <cell r="G950"/>
        </row>
        <row r="951">
          <cell r="A951">
            <v>2599</v>
          </cell>
          <cell r="B951" t="str">
            <v>STEEL AND TUBE INDUSTRIES LTD</v>
          </cell>
          <cell r="C951" t="str">
            <v>SS Tank</v>
          </cell>
          <cell r="D951" t="str">
            <v>Two Star - 1000ltrs</v>
          </cell>
          <cell r="E951" t="str">
            <v>Piece</v>
          </cell>
          <cell r="F951" t="str">
            <v>Shillings</v>
          </cell>
          <cell r="G951"/>
        </row>
        <row r="952">
          <cell r="A952">
            <v>2599</v>
          </cell>
          <cell r="B952" t="str">
            <v>STEEL AND TUBE INDUSTRIES LTD</v>
          </cell>
          <cell r="C952" t="str">
            <v>SS Tank One Star - 750 ltrs</v>
          </cell>
          <cell r="D952" t="str">
            <v>One Star - 1250 ltrs</v>
          </cell>
          <cell r="E952" t="str">
            <v>Piece</v>
          </cell>
          <cell r="F952" t="str">
            <v>Shillings</v>
          </cell>
          <cell r="G952"/>
        </row>
        <row r="953">
          <cell r="A953">
            <v>2599</v>
          </cell>
          <cell r="B953" t="str">
            <v>STEEL AND TUBE INDUSTRIES LTD</v>
          </cell>
          <cell r="C953" t="str">
            <v>Expanded Metal</v>
          </cell>
          <cell r="D953" t="str">
            <v>2X6 feet</v>
          </cell>
          <cell r="E953" t="str">
            <v>Piece</v>
          </cell>
          <cell r="F953" t="str">
            <v>Shillings</v>
          </cell>
          <cell r="G953"/>
        </row>
        <row r="954">
          <cell r="A954">
            <v>2599</v>
          </cell>
          <cell r="B954" t="str">
            <v>STEEL AND TUBE INDUSTRIES LTD</v>
          </cell>
          <cell r="C954" t="str">
            <v>Expanded Metal</v>
          </cell>
          <cell r="D954" t="str">
            <v>2X8 feet</v>
          </cell>
          <cell r="E954" t="str">
            <v>Piece</v>
          </cell>
          <cell r="F954" t="str">
            <v>Shillings</v>
          </cell>
          <cell r="G954"/>
        </row>
        <row r="955">
          <cell r="A955">
            <v>2599</v>
          </cell>
          <cell r="B955" t="str">
            <v>STEEL AND TUBE INDUSTRIES LTD</v>
          </cell>
          <cell r="C955" t="str">
            <v>Prepainted Sheets</v>
          </cell>
          <cell r="D955" t="str">
            <v>G30</v>
          </cell>
          <cell r="E955" t="str">
            <v>Piece</v>
          </cell>
          <cell r="F955" t="str">
            <v>Shillings</v>
          </cell>
          <cell r="G955"/>
        </row>
        <row r="956">
          <cell r="A956">
            <v>2599</v>
          </cell>
          <cell r="B956" t="str">
            <v>STEEL AND TUBE INDUSTRIES LTD</v>
          </cell>
          <cell r="C956" t="str">
            <v>MAT Tiles</v>
          </cell>
          <cell r="D956" t="str">
            <v>G26</v>
          </cell>
          <cell r="E956" t="str">
            <v>Piece</v>
          </cell>
          <cell r="F956" t="str">
            <v>Shillings</v>
          </cell>
          <cell r="G956"/>
        </row>
        <row r="957">
          <cell r="A957">
            <v>2599</v>
          </cell>
          <cell r="B957" t="str">
            <v>STEEL AND TUBE INDUSTRIES LTD</v>
          </cell>
          <cell r="C957" t="str">
            <v>Louvers</v>
          </cell>
          <cell r="D957" t="str">
            <v>70X4ftX1.2mm</v>
          </cell>
          <cell r="E957" t="str">
            <v>Piece</v>
          </cell>
          <cell r="F957" t="str">
            <v>Shillings</v>
          </cell>
          <cell r="G957"/>
        </row>
        <row r="958">
          <cell r="A958">
            <v>2599</v>
          </cell>
          <cell r="B958" t="str">
            <v>STEEL AND TUBE INDUSTRIES LTD</v>
          </cell>
          <cell r="C958" t="str">
            <v>Louvers</v>
          </cell>
          <cell r="D958" t="str">
            <v>70X4ftX1.0mm</v>
          </cell>
          <cell r="E958" t="str">
            <v>Piece</v>
          </cell>
          <cell r="F958" t="str">
            <v>Shillings</v>
          </cell>
          <cell r="G958"/>
        </row>
        <row r="959">
          <cell r="A959">
            <v>2599</v>
          </cell>
          <cell r="B959" t="str">
            <v>GIANT UGANDA COMPANY LIMITED</v>
          </cell>
          <cell r="C959" t="str">
            <v>GT 2001-1</v>
          </cell>
          <cell r="D959" t="str">
            <v>GT 2001-1</v>
          </cell>
          <cell r="E959" t="str">
            <v>Kilogram</v>
          </cell>
          <cell r="F959" t="str">
            <v>Shillings</v>
          </cell>
          <cell r="G959"/>
        </row>
        <row r="960">
          <cell r="A960">
            <v>2599</v>
          </cell>
          <cell r="B960" t="str">
            <v>GIANT UGANDA COMPANY LIMITED</v>
          </cell>
          <cell r="C960" t="str">
            <v>GT 2001-2</v>
          </cell>
          <cell r="D960" t="str">
            <v>GT 2001-2</v>
          </cell>
          <cell r="E960" t="str">
            <v>Kilogram</v>
          </cell>
          <cell r="F960" t="str">
            <v>Shillings</v>
          </cell>
          <cell r="G960"/>
        </row>
        <row r="961">
          <cell r="A961">
            <v>2599</v>
          </cell>
          <cell r="B961" t="str">
            <v>GIANT UGANDA COMPANY LIMITED</v>
          </cell>
          <cell r="C961" t="str">
            <v>GT 2001-24</v>
          </cell>
          <cell r="D961" t="str">
            <v>GT 2001-24</v>
          </cell>
          <cell r="E961" t="str">
            <v>Kilogram</v>
          </cell>
          <cell r="F961" t="str">
            <v>Shillings</v>
          </cell>
          <cell r="G961"/>
        </row>
        <row r="962">
          <cell r="A962">
            <v>2599</v>
          </cell>
          <cell r="B962" t="str">
            <v>GIANT UGANDA COMPANY LIMITED</v>
          </cell>
          <cell r="C962" t="str">
            <v>GT 90-01</v>
          </cell>
          <cell r="D962" t="str">
            <v>GT 90-014</v>
          </cell>
          <cell r="E962" t="str">
            <v>Kilogram</v>
          </cell>
          <cell r="F962" t="str">
            <v>Shillings</v>
          </cell>
          <cell r="G962"/>
        </row>
        <row r="963">
          <cell r="A963">
            <v>2599</v>
          </cell>
          <cell r="B963" t="str">
            <v>GIANT UGANDA COMPANY LIMITED</v>
          </cell>
          <cell r="C963" t="str">
            <v>GT 90-01</v>
          </cell>
          <cell r="D963" t="str">
            <v>GT 90-01B</v>
          </cell>
          <cell r="E963" t="str">
            <v>Kilogram</v>
          </cell>
          <cell r="F963" t="str">
            <v>Shillings</v>
          </cell>
          <cell r="G963"/>
        </row>
        <row r="964">
          <cell r="A964">
            <v>2599</v>
          </cell>
          <cell r="B964" t="str">
            <v>GIANT UGANDA COMPANY LIMITED</v>
          </cell>
          <cell r="C964" t="str">
            <v>GT 90-01</v>
          </cell>
          <cell r="D964" t="str">
            <v>GT 90-18</v>
          </cell>
          <cell r="E964" t="str">
            <v>Kilogram</v>
          </cell>
          <cell r="F964" t="str">
            <v>Shillings</v>
          </cell>
          <cell r="G964"/>
        </row>
        <row r="965">
          <cell r="A965">
            <v>2599</v>
          </cell>
          <cell r="B965" t="str">
            <v>GIANT UGANDA COMPANY LIMITED</v>
          </cell>
          <cell r="C965" t="str">
            <v>GT 90-02</v>
          </cell>
          <cell r="D965" t="str">
            <v>GT 90-01C</v>
          </cell>
          <cell r="E965" t="str">
            <v>Kilogram</v>
          </cell>
          <cell r="F965" t="str">
            <v>Shillings</v>
          </cell>
          <cell r="G965"/>
        </row>
        <row r="966">
          <cell r="A966">
            <v>2599</v>
          </cell>
          <cell r="B966" t="str">
            <v>GIANT UGANDA COMPANY LIMITED</v>
          </cell>
          <cell r="C966" t="str">
            <v>GT 08-01</v>
          </cell>
          <cell r="D966" t="str">
            <v>GT 08-02</v>
          </cell>
          <cell r="E966" t="str">
            <v>Kilogram</v>
          </cell>
          <cell r="F966" t="str">
            <v>Shillings</v>
          </cell>
          <cell r="G966"/>
        </row>
        <row r="967">
          <cell r="A967">
            <v>2599</v>
          </cell>
          <cell r="B967" t="str">
            <v>GIANT UGANDA COMPANY LIMITED</v>
          </cell>
          <cell r="C967" t="str">
            <v>GT 08-01</v>
          </cell>
          <cell r="D967" t="str">
            <v>GT 08-03</v>
          </cell>
          <cell r="E967" t="str">
            <v>Kilogram</v>
          </cell>
          <cell r="F967" t="str">
            <v>Shillings</v>
          </cell>
          <cell r="G967"/>
        </row>
        <row r="968">
          <cell r="A968">
            <v>2599</v>
          </cell>
          <cell r="B968" t="str">
            <v>GIANT UGANDA COMPANY LIMITED</v>
          </cell>
          <cell r="C968" t="str">
            <v>GT 08-01</v>
          </cell>
          <cell r="D968" t="str">
            <v>GT 08-04</v>
          </cell>
          <cell r="E968" t="str">
            <v>Kilogram</v>
          </cell>
          <cell r="F968" t="str">
            <v>Shillings</v>
          </cell>
          <cell r="G968"/>
        </row>
        <row r="969">
          <cell r="A969">
            <v>2599</v>
          </cell>
          <cell r="B969" t="str">
            <v>GIANT UGANDA COMPANY LIMITED</v>
          </cell>
          <cell r="C969" t="str">
            <v>GT 08-01</v>
          </cell>
          <cell r="D969" t="str">
            <v>GT 08-05</v>
          </cell>
          <cell r="E969" t="str">
            <v>Kilogram</v>
          </cell>
          <cell r="F969" t="str">
            <v>Shillings</v>
          </cell>
          <cell r="G969"/>
        </row>
        <row r="970">
          <cell r="A970">
            <v>2599</v>
          </cell>
          <cell r="B970" t="str">
            <v>GIANT UGANDA COMPANY LIMITED</v>
          </cell>
          <cell r="C970" t="str">
            <v>GT 300-004</v>
          </cell>
          <cell r="D970" t="str">
            <v>GT 300-004</v>
          </cell>
          <cell r="E970" t="str">
            <v>Kilogram</v>
          </cell>
          <cell r="F970" t="str">
            <v>Shillings</v>
          </cell>
          <cell r="G970"/>
        </row>
        <row r="971">
          <cell r="A971">
            <v>2599</v>
          </cell>
          <cell r="B971" t="str">
            <v>GIANT UGANDA COMPANY LIMITED</v>
          </cell>
          <cell r="C971" t="str">
            <v>GT 300-004</v>
          </cell>
          <cell r="D971" t="str">
            <v>GT 300-005</v>
          </cell>
          <cell r="E971" t="str">
            <v>Kilogram</v>
          </cell>
          <cell r="F971" t="str">
            <v>Shillings</v>
          </cell>
          <cell r="G971"/>
        </row>
        <row r="972">
          <cell r="A972">
            <v>2599</v>
          </cell>
          <cell r="B972" t="str">
            <v>GIANT UGANDA COMPANY LIMITED</v>
          </cell>
          <cell r="C972" t="str">
            <v>GT 300-004</v>
          </cell>
          <cell r="D972" t="str">
            <v>GT 300-006</v>
          </cell>
          <cell r="E972" t="str">
            <v>Kilogram</v>
          </cell>
          <cell r="F972" t="str">
            <v>Shillings</v>
          </cell>
          <cell r="G972"/>
        </row>
        <row r="973">
          <cell r="A973">
            <v>2599</v>
          </cell>
          <cell r="B973" t="str">
            <v>GIANT UGANDA COMPANY LIMITED</v>
          </cell>
          <cell r="C973" t="str">
            <v>GT 300-004</v>
          </cell>
          <cell r="D973" t="str">
            <v>GT 300-007</v>
          </cell>
          <cell r="E973" t="str">
            <v>Kilogram</v>
          </cell>
          <cell r="F973" t="str">
            <v>Shillings</v>
          </cell>
          <cell r="G973"/>
        </row>
        <row r="974">
          <cell r="A974">
            <v>2599</v>
          </cell>
          <cell r="B974" t="str">
            <v>GIANT UGANDA COMPANY LIMITED</v>
          </cell>
          <cell r="C974" t="str">
            <v>GT 300-5002</v>
          </cell>
          <cell r="D974" t="str">
            <v>GT 300-5002</v>
          </cell>
          <cell r="E974" t="str">
            <v>Kilogram</v>
          </cell>
          <cell r="F974" t="str">
            <v>Shillings</v>
          </cell>
          <cell r="G974"/>
        </row>
        <row r="975">
          <cell r="A975">
            <v>2599</v>
          </cell>
          <cell r="B975" t="str">
            <v>GIANT UGANDA COMPANY LIMITED</v>
          </cell>
          <cell r="C975" t="str">
            <v>GT 300-5003</v>
          </cell>
          <cell r="D975" t="str">
            <v>GT 300-5003</v>
          </cell>
          <cell r="E975" t="str">
            <v>Kilogram</v>
          </cell>
          <cell r="F975" t="str">
            <v>Shillings</v>
          </cell>
          <cell r="G975"/>
        </row>
        <row r="976">
          <cell r="A976">
            <v>2599</v>
          </cell>
          <cell r="B976" t="str">
            <v>GIANT UGANDA COMPANY LIMITED</v>
          </cell>
          <cell r="C976" t="str">
            <v>GT 300-5002</v>
          </cell>
          <cell r="D976" t="str">
            <v>GT 300-5003</v>
          </cell>
          <cell r="E976" t="str">
            <v>Kilogram</v>
          </cell>
          <cell r="F976" t="str">
            <v>Shillings</v>
          </cell>
          <cell r="G976"/>
        </row>
        <row r="977">
          <cell r="A977">
            <v>2599</v>
          </cell>
          <cell r="B977" t="str">
            <v>GIANT UGANDA COMPANY LIMITED</v>
          </cell>
          <cell r="C977" t="str">
            <v>GT 300-5002</v>
          </cell>
          <cell r="D977" t="str">
            <v>GT 300-5004</v>
          </cell>
          <cell r="E977" t="str">
            <v>Kilogram</v>
          </cell>
          <cell r="F977" t="str">
            <v>Shillings</v>
          </cell>
          <cell r="G977"/>
        </row>
        <row r="978">
          <cell r="A978">
            <v>2599</v>
          </cell>
          <cell r="B978" t="str">
            <v>GIANT UGANDA COMPANY LIMITED</v>
          </cell>
          <cell r="C978" t="str">
            <v>GT 300-5002</v>
          </cell>
          <cell r="D978" t="str">
            <v>GT 300-5005</v>
          </cell>
          <cell r="E978" t="str">
            <v>Kilogram</v>
          </cell>
          <cell r="F978" t="str">
            <v>Shillings</v>
          </cell>
          <cell r="G978"/>
        </row>
        <row r="979">
          <cell r="A979">
            <v>2599</v>
          </cell>
          <cell r="B979" t="str">
            <v>G.M. TUMPECO (U) LIMITED</v>
          </cell>
          <cell r="C979" t="str">
            <v>Sofa Set 6 seats</v>
          </cell>
          <cell r="D979" t="str">
            <v>Sofa Set 6 seats</v>
          </cell>
          <cell r="E979" t="str">
            <v>Set</v>
          </cell>
          <cell r="F979" t="str">
            <v>Shillings</v>
          </cell>
          <cell r="G979"/>
        </row>
        <row r="980">
          <cell r="A980">
            <v>2599</v>
          </cell>
          <cell r="B980" t="str">
            <v>G.M. TUMPECO (U) LIMITED</v>
          </cell>
          <cell r="C980" t="str">
            <v>Alluminium Water Tank</v>
          </cell>
          <cell r="D980" t="str">
            <v>Water Tank of 5000 Ltrs</v>
          </cell>
          <cell r="E980" t="str">
            <v>Number</v>
          </cell>
          <cell r="F980" t="str">
            <v>Shillings</v>
          </cell>
          <cell r="G980"/>
        </row>
        <row r="981">
          <cell r="A981">
            <v>2599</v>
          </cell>
          <cell r="B981" t="str">
            <v>G.M. TUMPECO (U) LIMITED</v>
          </cell>
          <cell r="C981" t="str">
            <v>Double Decker Bed</v>
          </cell>
          <cell r="D981" t="str">
            <v>Double Decker Bed</v>
          </cell>
          <cell r="E981" t="str">
            <v>Number</v>
          </cell>
          <cell r="F981" t="str">
            <v>Shillings</v>
          </cell>
          <cell r="G981"/>
        </row>
        <row r="982">
          <cell r="A982">
            <v>2599</v>
          </cell>
          <cell r="B982" t="str">
            <v>G.M. TUMPECO (U) LIMITED</v>
          </cell>
          <cell r="C982" t="str">
            <v>Gen. FabricationTank</v>
          </cell>
          <cell r="D982" t="str">
            <v>Hily Chair Plastic Backet 2 seater</v>
          </cell>
          <cell r="E982" t="str">
            <v>Number</v>
          </cell>
          <cell r="F982" t="str">
            <v>Shillings</v>
          </cell>
          <cell r="G982"/>
        </row>
        <row r="983">
          <cell r="A983">
            <v>2599</v>
          </cell>
          <cell r="B983" t="str">
            <v>G.M. TUMPECO (U) LIMITED</v>
          </cell>
          <cell r="C983" t="str">
            <v>Traffic Sign Plates Signage</v>
          </cell>
          <cell r="D983" t="str">
            <v>Vehicle Reflectors (750*500gm)</v>
          </cell>
          <cell r="E983" t="str">
            <v>Piece</v>
          </cell>
          <cell r="F983" t="str">
            <v>Shillings</v>
          </cell>
          <cell r="G983"/>
        </row>
        <row r="984">
          <cell r="A984">
            <v>2599</v>
          </cell>
          <cell r="B984" t="str">
            <v>G.M. TUMPECO (U) LIMITED</v>
          </cell>
          <cell r="C984" t="str">
            <v>Motor Vehicle number plates</v>
          </cell>
          <cell r="D984" t="str">
            <v xml:space="preserve">Traffic Road Sign </v>
          </cell>
          <cell r="E984" t="str">
            <v>Pair</v>
          </cell>
          <cell r="F984" t="str">
            <v>Shillings</v>
          </cell>
          <cell r="G984"/>
        </row>
        <row r="985">
          <cell r="A985">
            <v>2599</v>
          </cell>
          <cell r="B985" t="str">
            <v>SHUMUK ALLUMINIUM INDUSTRIES LIMITED (SAJ)</v>
          </cell>
          <cell r="C985" t="str">
            <v>Saucepan 19/26B</v>
          </cell>
          <cell r="D985" t="str">
            <v>19/26B</v>
          </cell>
          <cell r="E985" t="str">
            <v>set</v>
          </cell>
          <cell r="F985" t="str">
            <v>Shillings</v>
          </cell>
          <cell r="G985"/>
        </row>
        <row r="986">
          <cell r="A986">
            <v>2599</v>
          </cell>
          <cell r="B986" t="str">
            <v>SHUMUK ALLUMINIUM INDUSTRIES LIMITED (SAJ)</v>
          </cell>
          <cell r="C986" t="str">
            <v xml:space="preserve">Kettles </v>
          </cell>
          <cell r="D986" t="str">
            <v>E22</v>
          </cell>
          <cell r="E986" t="str">
            <v>PC</v>
          </cell>
          <cell r="F986" t="str">
            <v>Shillings</v>
          </cell>
          <cell r="G986"/>
        </row>
        <row r="987">
          <cell r="A987">
            <v>2599</v>
          </cell>
          <cell r="B987" t="str">
            <v>SHUMUK ALLUMINIUM INDUSTRIES LIMITED (SAJ)</v>
          </cell>
          <cell r="C987" t="str">
            <v xml:space="preserve">Saucepan </v>
          </cell>
          <cell r="D987" t="str">
            <v>Saucepan of 34/36</v>
          </cell>
          <cell r="E987" t="str">
            <v>Piece</v>
          </cell>
          <cell r="F987" t="str">
            <v>Shillings</v>
          </cell>
          <cell r="G987"/>
        </row>
        <row r="988">
          <cell r="A988">
            <v>2599</v>
          </cell>
          <cell r="B988" t="str">
            <v>BULAMBA STORES and WELDING LIMITED</v>
          </cell>
          <cell r="C988" t="str">
            <v>Windows 4*4feet</v>
          </cell>
          <cell r="D988" t="str">
            <v>4*4 FEET</v>
          </cell>
          <cell r="E988" t="str">
            <v>piece</v>
          </cell>
          <cell r="F988" t="str">
            <v>Shillings</v>
          </cell>
          <cell r="G988"/>
        </row>
        <row r="989">
          <cell r="A989">
            <v>2599</v>
          </cell>
          <cell r="B989" t="str">
            <v>BULAMBA STORES and WELDING LIMITED</v>
          </cell>
          <cell r="C989" t="str">
            <v>Window 5*5feet</v>
          </cell>
          <cell r="D989" t="str">
            <v>5*5 FEET</v>
          </cell>
          <cell r="E989" t="str">
            <v>piece</v>
          </cell>
          <cell r="F989" t="str">
            <v>Shillings</v>
          </cell>
          <cell r="G989"/>
        </row>
        <row r="990">
          <cell r="A990">
            <v>2599</v>
          </cell>
          <cell r="B990" t="str">
            <v>BULAMBA STORES and WELDING LIMITED</v>
          </cell>
          <cell r="C990" t="str">
            <v>Window 6*6feet</v>
          </cell>
          <cell r="D990" t="str">
            <v>6*6 FT</v>
          </cell>
          <cell r="E990" t="str">
            <v>piece</v>
          </cell>
          <cell r="F990" t="str">
            <v>Shillings</v>
          </cell>
          <cell r="G990"/>
        </row>
        <row r="991">
          <cell r="A991">
            <v>2599</v>
          </cell>
          <cell r="B991" t="str">
            <v>BULAMBA STORES AND WELDING LIMITED</v>
          </cell>
          <cell r="C991" t="str">
            <v>Door 3X7Ft</v>
          </cell>
          <cell r="D991" t="str">
            <v>3*7 FEET</v>
          </cell>
          <cell r="E991" t="str">
            <v>piece</v>
          </cell>
          <cell r="F991" t="str">
            <v>Shillings</v>
          </cell>
          <cell r="G991"/>
        </row>
        <row r="992">
          <cell r="A992">
            <v>2599</v>
          </cell>
          <cell r="B992" t="str">
            <v>BULAMBA STORES AND WELDING LIMITED</v>
          </cell>
          <cell r="C992" t="str">
            <v>Door 4X7Ft</v>
          </cell>
          <cell r="D992" t="str">
            <v>4*7 FEET</v>
          </cell>
          <cell r="E992" t="str">
            <v>piece</v>
          </cell>
          <cell r="F992" t="str">
            <v>Shillings</v>
          </cell>
          <cell r="G992"/>
        </row>
        <row r="993">
          <cell r="A993">
            <v>2599</v>
          </cell>
          <cell r="B993" t="str">
            <v>BULAMBA STORES AND WELDING LIMITED</v>
          </cell>
          <cell r="C993" t="str">
            <v>Balustrades 3feet</v>
          </cell>
          <cell r="D993" t="str">
            <v>BALUSTRADES 3FT</v>
          </cell>
          <cell r="E993" t="str">
            <v>PIECE</v>
          </cell>
          <cell r="F993" t="str">
            <v>Shillings</v>
          </cell>
          <cell r="G993"/>
        </row>
        <row r="994">
          <cell r="G994"/>
        </row>
        <row r="995">
          <cell r="B995" t="str">
            <v xml:space="preserve"> Manufacture of batteries and accumulators</v>
          </cell>
          <cell r="F995" t="str">
            <v>Index</v>
          </cell>
          <cell r="G995">
            <v>1.6583732048118001</v>
          </cell>
        </row>
        <row r="996">
          <cell r="A996" t="str">
            <v>2720</v>
          </cell>
          <cell r="B996" t="str">
            <v xml:space="preserve"> Manufacture of batteries and accumulators</v>
          </cell>
          <cell r="C996"/>
          <cell r="F996" t="str">
            <v>Geomean</v>
          </cell>
          <cell r="G996"/>
        </row>
        <row r="997">
          <cell r="A997">
            <v>2720</v>
          </cell>
          <cell r="B997" t="str">
            <v>UGANDA BATTERIES LIMITED</v>
          </cell>
          <cell r="C997" t="str">
            <v>Automotive Battery 12/N40</v>
          </cell>
          <cell r="D997" t="str">
            <v>Automotive Battery 12/N40</v>
          </cell>
          <cell r="E997" t="str">
            <v>A PIECE</v>
          </cell>
          <cell r="F997" t="str">
            <v>Shillings</v>
          </cell>
          <cell r="G997"/>
        </row>
        <row r="998">
          <cell r="A998">
            <v>2720</v>
          </cell>
          <cell r="B998" t="str">
            <v>UGANDA BATTERIES LIMITED</v>
          </cell>
          <cell r="C998" t="str">
            <v>Aut omotive battery 12/N60</v>
          </cell>
          <cell r="D998" t="str">
            <v>Aut omotive battery 12/N60</v>
          </cell>
          <cell r="E998" t="str">
            <v>A PIECE</v>
          </cell>
          <cell r="F998" t="str">
            <v>Shillings</v>
          </cell>
          <cell r="G998"/>
        </row>
        <row r="999">
          <cell r="A999">
            <v>2720</v>
          </cell>
          <cell r="B999" t="str">
            <v>UGANDA BATTERIES LIMITED</v>
          </cell>
          <cell r="C999" t="str">
            <v>Automtive Battery 12/N70</v>
          </cell>
          <cell r="D999" t="str">
            <v>Automtive Battery 12/N70</v>
          </cell>
          <cell r="E999" t="str">
            <v>A PIECE</v>
          </cell>
          <cell r="F999" t="str">
            <v>Shillings</v>
          </cell>
          <cell r="G999"/>
        </row>
        <row r="1000">
          <cell r="A1000">
            <v>2720</v>
          </cell>
          <cell r="B1000" t="str">
            <v>UGANDA BATTERIES LIMITED</v>
          </cell>
          <cell r="C1000" t="str">
            <v>Automtive Battery 12/N50</v>
          </cell>
          <cell r="D1000" t="str">
            <v>Automtive Battery 12/N50 50AH</v>
          </cell>
          <cell r="E1000" t="str">
            <v>A PIECE</v>
          </cell>
          <cell r="F1000" t="str">
            <v>Shillings</v>
          </cell>
          <cell r="G1000"/>
        </row>
        <row r="1001">
          <cell r="A1001">
            <v>2720</v>
          </cell>
          <cell r="B1001" t="str">
            <v>UGANDA BATTERIES LIMITED</v>
          </cell>
          <cell r="C1001" t="str">
            <v>Automtive Battery 12/N50</v>
          </cell>
          <cell r="D1001" t="str">
            <v>Automtive Battery 12/N50 65AH</v>
          </cell>
          <cell r="E1001" t="str">
            <v>A PIECE</v>
          </cell>
          <cell r="F1001" t="str">
            <v>Shillings</v>
          </cell>
          <cell r="G1001"/>
        </row>
        <row r="1002">
          <cell r="A1002">
            <v>2720</v>
          </cell>
          <cell r="B1002" t="str">
            <v>UGANDA BATTERIES LIMITED</v>
          </cell>
          <cell r="C1002" t="str">
            <v>EB50</v>
          </cell>
          <cell r="D1002" t="str">
            <v>EB50</v>
          </cell>
          <cell r="E1002" t="str">
            <v>A PIECE</v>
          </cell>
          <cell r="F1002" t="str">
            <v>Shillings</v>
          </cell>
          <cell r="G1002"/>
        </row>
        <row r="1003">
          <cell r="A1003">
            <v>2720</v>
          </cell>
          <cell r="B1003" t="str">
            <v>UGANDA BATTERIES LIMITED</v>
          </cell>
          <cell r="C1003" t="str">
            <v>EB70</v>
          </cell>
          <cell r="D1003" t="str">
            <v>EB70</v>
          </cell>
          <cell r="E1003" t="str">
            <v>A PIECE</v>
          </cell>
          <cell r="F1003" t="str">
            <v>Shillings</v>
          </cell>
          <cell r="G1003"/>
        </row>
        <row r="1004">
          <cell r="A1004">
            <v>2720</v>
          </cell>
          <cell r="B1004" t="str">
            <v>UGANDA BATTERIES LIMITED</v>
          </cell>
          <cell r="C1004" t="str">
            <v>EB100</v>
          </cell>
          <cell r="D1004" t="str">
            <v>EB100</v>
          </cell>
          <cell r="E1004" t="str">
            <v>A PIECE</v>
          </cell>
          <cell r="F1004" t="str">
            <v>Shillings</v>
          </cell>
          <cell r="G1004"/>
        </row>
        <row r="1005">
          <cell r="A1005"/>
          <cell r="B1005"/>
          <cell r="C1005"/>
          <cell r="D1005"/>
          <cell r="E1005"/>
          <cell r="F1005"/>
          <cell r="G1005"/>
        </row>
        <row r="1006">
          <cell r="B1006" t="str">
            <v>Manufacture of wiring and wiring devices</v>
          </cell>
        </row>
        <row r="1007">
          <cell r="B1007" t="str">
            <v xml:space="preserve"> Manufacture of other electronic and electric wires and cables</v>
          </cell>
          <cell r="F1007" t="str">
            <v>Index</v>
          </cell>
          <cell r="G1007">
            <v>2.09322659290812</v>
          </cell>
        </row>
        <row r="1008">
          <cell r="A1008" t="str">
            <v>2732</v>
          </cell>
          <cell r="B1008" t="str">
            <v xml:space="preserve"> Manufacture of other electronic and electric wires and cables</v>
          </cell>
          <cell r="F1008" t="str">
            <v>Geomean</v>
          </cell>
        </row>
        <row r="1009">
          <cell r="A1009">
            <v>2732</v>
          </cell>
          <cell r="B1009" t="str">
            <v>CABLE CORPORATION LIMITED</v>
          </cell>
          <cell r="C1009" t="str">
            <v>Overhead conductor</v>
          </cell>
          <cell r="D1009" t="str">
            <v>100 sq mm</v>
          </cell>
          <cell r="E1009" t="str">
            <v>1 meter</v>
          </cell>
          <cell r="F1009" t="str">
            <v>Shillings</v>
          </cell>
          <cell r="G1009"/>
        </row>
        <row r="1010">
          <cell r="A1010">
            <v>2732</v>
          </cell>
          <cell r="B1010" t="str">
            <v>CABLE CORPORATION LIMITED</v>
          </cell>
          <cell r="C1010" t="str">
            <v>Underground cable</v>
          </cell>
          <cell r="D1010" t="str">
            <v>16 sq mm X 4 core</v>
          </cell>
          <cell r="E1010" t="str">
            <v>1 meter</v>
          </cell>
          <cell r="F1010" t="str">
            <v>Shillings</v>
          </cell>
          <cell r="G1010"/>
        </row>
        <row r="1011">
          <cell r="A1011">
            <v>2732</v>
          </cell>
          <cell r="B1011" t="str">
            <v>CABLE CORPORATION LIMITED</v>
          </cell>
          <cell r="C1011" t="str">
            <v>Domestic Cable</v>
          </cell>
          <cell r="D1011" t="str">
            <v>1.5 sq mm twin core</v>
          </cell>
          <cell r="E1011" t="str">
            <v>1 Roll</v>
          </cell>
          <cell r="F1011" t="str">
            <v>Shillings</v>
          </cell>
          <cell r="G1011"/>
        </row>
        <row r="1012">
          <cell r="A1012">
            <v>2732</v>
          </cell>
          <cell r="B1012" t="str">
            <v>CABLE CORPORATION LIMITED</v>
          </cell>
          <cell r="C1012" t="str">
            <v>Domestic Cable</v>
          </cell>
          <cell r="D1012" t="str">
            <v>2.5 sq mm twin cable</v>
          </cell>
          <cell r="E1012" t="str">
            <v>1 Roll</v>
          </cell>
          <cell r="F1012" t="str">
            <v>Shillings</v>
          </cell>
          <cell r="G1012"/>
        </row>
        <row r="1013">
          <cell r="A1013">
            <v>2732</v>
          </cell>
          <cell r="B1013" t="str">
            <v>HI-TECH METAL INDUSTRIES LIMITED</v>
          </cell>
          <cell r="C1013" t="str">
            <v>Standard Single Core</v>
          </cell>
          <cell r="D1013" t="str">
            <v>10sq.mm Strandard single core wire</v>
          </cell>
          <cell r="E1013" t="str">
            <v>Roll (100 metre)</v>
          </cell>
          <cell r="F1013" t="str">
            <v>Shillings</v>
          </cell>
          <cell r="G1013"/>
        </row>
        <row r="1014">
          <cell r="A1014">
            <v>2732</v>
          </cell>
          <cell r="B1014" t="str">
            <v>HI-TECH METAL INDUSTRIES LIMITED</v>
          </cell>
          <cell r="C1014" t="str">
            <v>Twin Cable Earth</v>
          </cell>
          <cell r="D1014" t="str">
            <v>1sq.mmTwin with earth cable</v>
          </cell>
          <cell r="E1014" t="str">
            <v>Roll (100 metre)</v>
          </cell>
          <cell r="F1014" t="str">
            <v>Shillings</v>
          </cell>
          <cell r="G1014"/>
        </row>
        <row r="1015">
          <cell r="A1015">
            <v>2732</v>
          </cell>
          <cell r="B1015" t="str">
            <v>HI-TECH METAL INDUSTRIES LIMITED</v>
          </cell>
          <cell r="C1015" t="str">
            <v>Three Core Flexible</v>
          </cell>
          <cell r="D1015" t="str">
            <v>0.75mm Three core flexible cable</v>
          </cell>
          <cell r="E1015" t="str">
            <v>Roll (100 metre)</v>
          </cell>
          <cell r="F1015" t="str">
            <v>Shillings</v>
          </cell>
          <cell r="G1015"/>
        </row>
        <row r="1016">
          <cell r="A1016">
            <v>2732</v>
          </cell>
          <cell r="B1016" t="str">
            <v>HI-TECH METAL INDUSTRIES LIMITED</v>
          </cell>
          <cell r="C1016" t="str">
            <v>Three Core Flexible</v>
          </cell>
          <cell r="D1016" t="str">
            <v>2.5sq.mm Three core flexible cable</v>
          </cell>
          <cell r="E1016" t="str">
            <v>Roll (100 metre)</v>
          </cell>
          <cell r="F1016" t="str">
            <v>Shillings</v>
          </cell>
          <cell r="G1016"/>
        </row>
        <row r="1017">
          <cell r="A1017">
            <v>2732</v>
          </cell>
          <cell r="B1017" t="str">
            <v>ELECTRICAL CONTROLS &amp; SWITCHGEAR LIMITED</v>
          </cell>
          <cell r="C1017" t="str">
            <v>Transformers</v>
          </cell>
          <cell r="D1017" t="str">
            <v>50kva</v>
          </cell>
          <cell r="E1017" t="str">
            <v>piece</v>
          </cell>
          <cell r="F1017" t="str">
            <v>Shillings</v>
          </cell>
          <cell r="G1017"/>
        </row>
        <row r="1018">
          <cell r="A1018">
            <v>2732</v>
          </cell>
          <cell r="B1018" t="str">
            <v>ELECTRICAL CONTROLS &amp; SWITCHGEAR LIMITED</v>
          </cell>
          <cell r="C1018" t="str">
            <v>Transformers</v>
          </cell>
          <cell r="D1018" t="str">
            <v>100 kva</v>
          </cell>
          <cell r="E1018" t="str">
            <v>piece</v>
          </cell>
          <cell r="F1018" t="str">
            <v>Shillings</v>
          </cell>
          <cell r="G1018"/>
        </row>
        <row r="1019">
          <cell r="A1019">
            <v>2732</v>
          </cell>
          <cell r="B1019" t="str">
            <v>ELECTRICAL CONTROLS &amp; SWITCHGEAR LIMITED</v>
          </cell>
          <cell r="C1019" t="str">
            <v>Transformers</v>
          </cell>
          <cell r="D1019" t="str">
            <v>200 kva</v>
          </cell>
          <cell r="E1019" t="str">
            <v>piece</v>
          </cell>
          <cell r="F1019" t="str">
            <v>Shillings</v>
          </cell>
          <cell r="G1019"/>
        </row>
        <row r="1020">
          <cell r="A1020">
            <v>2732</v>
          </cell>
          <cell r="B1020" t="str">
            <v>ELECTRICAL CONTROLS &amp; SWITCHGEAR LIMITED</v>
          </cell>
          <cell r="C1020" t="str">
            <v>Transformers</v>
          </cell>
          <cell r="D1020" t="str">
            <v>500 kva</v>
          </cell>
          <cell r="E1020" t="str">
            <v>piece</v>
          </cell>
          <cell r="F1020" t="str">
            <v>Shillings</v>
          </cell>
          <cell r="G1020"/>
        </row>
        <row r="1021">
          <cell r="A1021">
            <v>2732</v>
          </cell>
          <cell r="B1021" t="str">
            <v>ELECTRICAL CONTROLS &amp; SWITCHGEAR LIMITED</v>
          </cell>
          <cell r="C1021" t="str">
            <v>Change over switch</v>
          </cell>
          <cell r="D1021" t="str">
            <v>1000A</v>
          </cell>
          <cell r="E1021" t="str">
            <v>piece</v>
          </cell>
          <cell r="F1021" t="str">
            <v>Shillings</v>
          </cell>
          <cell r="G1021"/>
        </row>
        <row r="1022">
          <cell r="A1022">
            <v>2732</v>
          </cell>
          <cell r="B1022" t="str">
            <v>ELECTRICAL CONTROLS &amp; SWITCHGEAR LIMITED</v>
          </cell>
          <cell r="C1022" t="str">
            <v>Change over switch</v>
          </cell>
          <cell r="D1022" t="str">
            <v>800A</v>
          </cell>
          <cell r="E1022" t="str">
            <v>piece</v>
          </cell>
          <cell r="F1022" t="str">
            <v>Shillings</v>
          </cell>
          <cell r="G1022"/>
        </row>
        <row r="1023">
          <cell r="A1023">
            <v>2732</v>
          </cell>
          <cell r="B1023" t="str">
            <v>ELECTRICAL CONTROLS &amp; SWITCHGEAR LIMITED</v>
          </cell>
          <cell r="C1023" t="str">
            <v>Change over switch</v>
          </cell>
          <cell r="D1023" t="str">
            <v>400A</v>
          </cell>
          <cell r="E1023" t="str">
            <v>piece</v>
          </cell>
          <cell r="F1023" t="str">
            <v>Shillings</v>
          </cell>
          <cell r="G1023"/>
        </row>
        <row r="1024">
          <cell r="A1024">
            <v>2732</v>
          </cell>
          <cell r="B1024" t="str">
            <v>ELECTRICAL CONTROLS &amp; SWITCHGEAR LIMITED</v>
          </cell>
          <cell r="C1024" t="str">
            <v>Change over switch</v>
          </cell>
          <cell r="D1024" t="str">
            <v>200A</v>
          </cell>
          <cell r="E1024" t="str">
            <v>piece</v>
          </cell>
          <cell r="F1024" t="str">
            <v>Shillings</v>
          </cell>
          <cell r="G1024"/>
        </row>
        <row r="1025">
          <cell r="A1025">
            <v>2732</v>
          </cell>
          <cell r="B1025" t="str">
            <v>ELECTRICAL CONTROLS &amp; SWITCHGEAR LIMITED</v>
          </cell>
          <cell r="C1025" t="str">
            <v>Stablizers</v>
          </cell>
          <cell r="D1025" t="str">
            <v>1000A</v>
          </cell>
          <cell r="E1025" t="str">
            <v>piece</v>
          </cell>
          <cell r="F1025" t="str">
            <v>Shillings</v>
          </cell>
          <cell r="G1025"/>
        </row>
        <row r="1026">
          <cell r="A1026">
            <v>2732</v>
          </cell>
          <cell r="B1026" t="str">
            <v>ELECTRICAL CONTROLS &amp; SWITCHGEAR LIMITED</v>
          </cell>
          <cell r="C1026" t="str">
            <v>Stablizers</v>
          </cell>
          <cell r="D1026" t="str">
            <v>500A</v>
          </cell>
          <cell r="E1026" t="str">
            <v>piece</v>
          </cell>
          <cell r="F1026" t="str">
            <v>Shillings</v>
          </cell>
          <cell r="G1026"/>
        </row>
        <row r="1027">
          <cell r="A1027">
            <v>2732</v>
          </cell>
          <cell r="B1027" t="str">
            <v>ELECTRICAL CONTROLS &amp; SWITCHGEAR LIMITED</v>
          </cell>
          <cell r="C1027" t="str">
            <v>Stablizers</v>
          </cell>
          <cell r="D1027" t="str">
            <v>400A</v>
          </cell>
          <cell r="E1027" t="str">
            <v>Piece</v>
          </cell>
          <cell r="F1027" t="str">
            <v>Shillings</v>
          </cell>
          <cell r="G1027"/>
        </row>
        <row r="1028">
          <cell r="A1028">
            <v>2732</v>
          </cell>
          <cell r="B1028" t="str">
            <v>ELECTRICAL CONTROLS &amp; SWITCHGEAR LIMITED</v>
          </cell>
          <cell r="C1028" t="str">
            <v>Stablizers</v>
          </cell>
          <cell r="D1028" t="str">
            <v>200A</v>
          </cell>
          <cell r="E1028" t="str">
            <v>Piece</v>
          </cell>
          <cell r="F1028" t="str">
            <v>Shillings</v>
          </cell>
          <cell r="G1028"/>
        </row>
        <row r="1029">
          <cell r="A1029">
            <v>2732</v>
          </cell>
          <cell r="B1029" t="str">
            <v>ELECTRICAL CONTROLS &amp; SWITCHGEAR LIMITED</v>
          </cell>
          <cell r="C1029" t="str">
            <v>Enclosure</v>
          </cell>
          <cell r="D1029" t="str">
            <v>2m*800*600</v>
          </cell>
          <cell r="E1029" t="str">
            <v>Piece</v>
          </cell>
          <cell r="F1029" t="str">
            <v>Shillings</v>
          </cell>
          <cell r="G1029"/>
        </row>
        <row r="1030">
          <cell r="A1030">
            <v>2732</v>
          </cell>
          <cell r="B1030" t="str">
            <v>ELECTRICAL CONTROLS &amp; SWITCHGEAR LIMITED</v>
          </cell>
          <cell r="C1030" t="str">
            <v>Enclosure</v>
          </cell>
          <cell r="D1030" t="str">
            <v>1800*600*200</v>
          </cell>
          <cell r="E1030" t="str">
            <v>Piece</v>
          </cell>
          <cell r="F1030" t="str">
            <v>Shillings</v>
          </cell>
          <cell r="G1030"/>
        </row>
        <row r="1031">
          <cell r="A1031">
            <v>2732</v>
          </cell>
          <cell r="B1031" t="str">
            <v>ELECTRICAL CONTROLS &amp; SWITCHGEAR LIMITED</v>
          </cell>
          <cell r="C1031" t="str">
            <v>Capactor Banks</v>
          </cell>
          <cell r="D1031" t="str">
            <v>500kva</v>
          </cell>
          <cell r="E1031" t="str">
            <v>Piece</v>
          </cell>
          <cell r="F1031" t="str">
            <v>Shillings</v>
          </cell>
          <cell r="G1031"/>
        </row>
        <row r="1032">
          <cell r="A1032">
            <v>2732</v>
          </cell>
          <cell r="B1032" t="str">
            <v>ELECTRICAL CONTROLS &amp; SWITCHGEAR LIMITED</v>
          </cell>
          <cell r="C1032" t="str">
            <v>Capactor Banks</v>
          </cell>
          <cell r="D1032" t="str">
            <v>300kva</v>
          </cell>
          <cell r="E1032" t="str">
            <v>Piece</v>
          </cell>
          <cell r="F1032" t="str">
            <v>Shillings</v>
          </cell>
          <cell r="G1032"/>
        </row>
        <row r="1033">
          <cell r="G1033"/>
        </row>
        <row r="1034">
          <cell r="B1034" t="str">
            <v>Manufacture of furniture</v>
          </cell>
        </row>
        <row r="1035">
          <cell r="B1035" t="str">
            <v>Manufacture of furniture</v>
          </cell>
          <cell r="F1035" t="str">
            <v>Index</v>
          </cell>
          <cell r="G1035">
            <v>91.576484518953094</v>
          </cell>
        </row>
        <row r="1036">
          <cell r="A1036" t="str">
            <v>3100</v>
          </cell>
          <cell r="B1036" t="str">
            <v xml:space="preserve"> Manufacture of furniture</v>
          </cell>
          <cell r="F1036" t="str">
            <v>Geomean</v>
          </cell>
          <cell r="G1036"/>
        </row>
        <row r="1037">
          <cell r="A1037">
            <v>3100</v>
          </cell>
          <cell r="B1037" t="str">
            <v>M-BAW-O TIMBERWORKS LIMITED</v>
          </cell>
          <cell r="C1037" t="str">
            <v>Doors</v>
          </cell>
          <cell r="D1037" t="str">
            <v>Flush doors</v>
          </cell>
          <cell r="E1037" t="str">
            <v>Piece</v>
          </cell>
          <cell r="F1037" t="str">
            <v>Shillings</v>
          </cell>
          <cell r="G1037"/>
        </row>
        <row r="1038">
          <cell r="A1038">
            <v>3100</v>
          </cell>
          <cell r="B1038" t="str">
            <v>M-BAW-O TIMBERWORKS LIMITED</v>
          </cell>
          <cell r="C1038" t="str">
            <v>Doors</v>
          </cell>
          <cell r="D1038" t="str">
            <v>Hardwood doors</v>
          </cell>
          <cell r="E1038" t="str">
            <v>Piece</v>
          </cell>
          <cell r="F1038" t="str">
            <v>Shillings</v>
          </cell>
          <cell r="G1038"/>
        </row>
        <row r="1039">
          <cell r="A1039">
            <v>3100</v>
          </cell>
          <cell r="B1039" t="str">
            <v>M-BAW-O TIMBERWORKS LIMITED</v>
          </cell>
          <cell r="C1039" t="str">
            <v>Kitchen Cabinets</v>
          </cell>
          <cell r="D1039" t="str">
            <v>Board Kitchen</v>
          </cell>
          <cell r="E1039" t="str">
            <v>Linear metre</v>
          </cell>
          <cell r="F1039" t="str">
            <v>Shillings</v>
          </cell>
          <cell r="G1039"/>
        </row>
        <row r="1040">
          <cell r="A1040">
            <v>3100</v>
          </cell>
          <cell r="B1040" t="str">
            <v>M-BAW-O TIMBERWORKS LIMITED</v>
          </cell>
          <cell r="C1040" t="str">
            <v>Kitchen Cabinets</v>
          </cell>
          <cell r="D1040" t="str">
            <v>Wooden Kitchens</v>
          </cell>
          <cell r="E1040" t="str">
            <v>Linear metre</v>
          </cell>
          <cell r="F1040" t="str">
            <v>Shillings</v>
          </cell>
          <cell r="G1040"/>
        </row>
        <row r="1041">
          <cell r="A1041">
            <v>3100</v>
          </cell>
          <cell r="B1041" t="str">
            <v>M-BAW-O TIMBERWORKS LIMITED</v>
          </cell>
          <cell r="C1041" t="str">
            <v>Wardrobes</v>
          </cell>
          <cell r="D1041" t="str">
            <v>Board wardrobes</v>
          </cell>
          <cell r="E1041" t="str">
            <v>Linear metre</v>
          </cell>
          <cell r="F1041" t="str">
            <v>Shillings</v>
          </cell>
          <cell r="G1041"/>
        </row>
        <row r="1042">
          <cell r="A1042">
            <v>3100</v>
          </cell>
          <cell r="B1042" t="str">
            <v>M-BAW-O TIMBERWORKS LIMITED</v>
          </cell>
          <cell r="C1042" t="str">
            <v>Wardrobes</v>
          </cell>
          <cell r="D1042" t="str">
            <v>Wooden wardrobes</v>
          </cell>
          <cell r="E1042" t="str">
            <v>Linear metre</v>
          </cell>
          <cell r="F1042" t="str">
            <v>Shillings</v>
          </cell>
          <cell r="G1042"/>
        </row>
        <row r="1043">
          <cell r="A1043">
            <v>3100</v>
          </cell>
          <cell r="B1043" t="str">
            <v>M-BAW-O TIMBERWORKS LIMITED</v>
          </cell>
          <cell r="C1043" t="str">
            <v>Chairs</v>
          </cell>
          <cell r="D1043" t="str">
            <v>outdoor chairs</v>
          </cell>
          <cell r="E1043" t="str">
            <v>piece</v>
          </cell>
          <cell r="F1043" t="str">
            <v>Shillings</v>
          </cell>
          <cell r="G1043"/>
        </row>
        <row r="1044">
          <cell r="A1044">
            <v>3100</v>
          </cell>
          <cell r="B1044" t="str">
            <v>M-BAW-O TIMBERWORKS LIMITED</v>
          </cell>
          <cell r="C1044" t="str">
            <v>Chairs</v>
          </cell>
          <cell r="D1044" t="str">
            <v>indoor Chairs</v>
          </cell>
          <cell r="E1044" t="str">
            <v>piece</v>
          </cell>
          <cell r="F1044" t="str">
            <v>Shillings</v>
          </cell>
          <cell r="G1044"/>
        </row>
        <row r="1045">
          <cell r="A1045">
            <v>3100</v>
          </cell>
          <cell r="B1045" t="str">
            <v>M-BAW-O TIMBERWORKS LIMITED</v>
          </cell>
          <cell r="C1045" t="str">
            <v>Beds</v>
          </cell>
          <cell r="D1045" t="str">
            <v>Beds</v>
          </cell>
          <cell r="E1045" t="str">
            <v>piece</v>
          </cell>
          <cell r="F1045" t="str">
            <v>Shillings</v>
          </cell>
          <cell r="G1045"/>
        </row>
        <row r="1046">
          <cell r="A1046">
            <v>3100</v>
          </cell>
          <cell r="B1046" t="str">
            <v>EUROFLEX LIMITED</v>
          </cell>
          <cell r="C1046" t="str">
            <v>36X4 Standard</v>
          </cell>
          <cell r="D1046" t="str">
            <v>36*4</v>
          </cell>
          <cell r="E1046" t="str">
            <v>piece</v>
          </cell>
          <cell r="F1046" t="str">
            <v>Shillings</v>
          </cell>
          <cell r="G1046"/>
        </row>
        <row r="1047">
          <cell r="A1047">
            <v>3100</v>
          </cell>
          <cell r="B1047" t="str">
            <v>EUROFLEX LIMITED</v>
          </cell>
          <cell r="C1047" t="str">
            <v>36X6 (High Density Deluxe)</v>
          </cell>
          <cell r="D1047" t="str">
            <v>36*6</v>
          </cell>
          <cell r="E1047" t="str">
            <v>Piece</v>
          </cell>
          <cell r="F1047" t="str">
            <v>Shillings</v>
          </cell>
          <cell r="G1047"/>
        </row>
        <row r="1048">
          <cell r="A1048">
            <v>3100</v>
          </cell>
          <cell r="B1048" t="str">
            <v>EUROFLEX LIMITED</v>
          </cell>
          <cell r="C1048" t="str">
            <v>36X6 Standard</v>
          </cell>
          <cell r="D1048" t="str">
            <v>36*6</v>
          </cell>
          <cell r="E1048" t="str">
            <v>piece</v>
          </cell>
          <cell r="F1048" t="str">
            <v>Shillings</v>
          </cell>
          <cell r="G1048"/>
        </row>
        <row r="1049">
          <cell r="A1049">
            <v>3100</v>
          </cell>
          <cell r="B1049" t="str">
            <v>EUROFLEX LIMITED</v>
          </cell>
          <cell r="C1049" t="str">
            <v>48X6 (Tape Edge)</v>
          </cell>
          <cell r="D1049" t="str">
            <v>48*6</v>
          </cell>
          <cell r="E1049" t="str">
            <v>Piece</v>
          </cell>
          <cell r="F1049" t="str">
            <v>Shillings</v>
          </cell>
          <cell r="G1049"/>
        </row>
        <row r="1050">
          <cell r="A1050">
            <v>3100</v>
          </cell>
          <cell r="B1050" t="str">
            <v>EUROFLEX LIMITED</v>
          </cell>
          <cell r="C1050" t="str">
            <v>60X6 Orthopedics</v>
          </cell>
          <cell r="D1050" t="str">
            <v>60*6</v>
          </cell>
          <cell r="E1050" t="str">
            <v>piece</v>
          </cell>
          <cell r="F1050" t="str">
            <v>Shillings</v>
          </cell>
          <cell r="G1050"/>
        </row>
        <row r="1051">
          <cell r="A1051">
            <v>3100</v>
          </cell>
          <cell r="B1051" t="str">
            <v>EUROFLEX LIMITED</v>
          </cell>
          <cell r="C1051" t="str">
            <v>Baby Cot</v>
          </cell>
          <cell r="D1051" t="str">
            <v>48*24*3</v>
          </cell>
          <cell r="E1051" t="str">
            <v>piece</v>
          </cell>
          <cell r="F1051" t="str">
            <v>Shillings</v>
          </cell>
          <cell r="G1051"/>
        </row>
        <row r="1052">
          <cell r="A1052">
            <v>3100</v>
          </cell>
          <cell r="B1052" t="str">
            <v>EUROFLEX LIMITED</v>
          </cell>
          <cell r="C1052" t="str">
            <v>Tape Edge Mattresses 60X6X74</v>
          </cell>
          <cell r="D1052" t="str">
            <v>60*6</v>
          </cell>
          <cell r="E1052" t="str">
            <v>piece</v>
          </cell>
          <cell r="F1052" t="str">
            <v>Shillings</v>
          </cell>
          <cell r="G1052"/>
        </row>
        <row r="1053">
          <cell r="A1053">
            <v>3100</v>
          </cell>
          <cell r="B1053" t="str">
            <v>MEGHA INDUSTRIES</v>
          </cell>
          <cell r="C1053" t="str">
            <v>Mattress Standard (Ordinary) Foam</v>
          </cell>
          <cell r="D1053" t="str">
            <v>3X6X4"</v>
          </cell>
          <cell r="E1053" t="str">
            <v>piece</v>
          </cell>
          <cell r="F1053" t="str">
            <v>Shillings</v>
          </cell>
          <cell r="G1053"/>
        </row>
        <row r="1054">
          <cell r="A1054">
            <v>3100</v>
          </cell>
          <cell r="B1054" t="str">
            <v>MEGHA INDUSTRIES</v>
          </cell>
          <cell r="C1054" t="str">
            <v>Mattress Standard (Ordinary) Foam</v>
          </cell>
          <cell r="D1054" t="str">
            <v>3X6X6"</v>
          </cell>
          <cell r="E1054" t="str">
            <v>piece</v>
          </cell>
          <cell r="F1054" t="str">
            <v>Shillings</v>
          </cell>
          <cell r="G1054"/>
        </row>
        <row r="1055">
          <cell r="A1055">
            <v>3100</v>
          </cell>
          <cell r="B1055" t="str">
            <v>MEGHA INDUSTRIES</v>
          </cell>
          <cell r="C1055" t="str">
            <v>Mattress Standard (Ordinary) Foam</v>
          </cell>
          <cell r="D1055" t="str">
            <v>4X6X6"</v>
          </cell>
          <cell r="E1055" t="str">
            <v>Piece</v>
          </cell>
          <cell r="F1055" t="str">
            <v>Shillings</v>
          </cell>
          <cell r="G1055"/>
        </row>
        <row r="1056">
          <cell r="A1056">
            <v>3100</v>
          </cell>
          <cell r="B1056" t="str">
            <v>MEGHA INDUSTRIES</v>
          </cell>
          <cell r="C1056" t="str">
            <v>Mattress Standard (Ordinary) Foam</v>
          </cell>
          <cell r="D1056" t="str">
            <v>5X6X6"</v>
          </cell>
          <cell r="E1056" t="str">
            <v>Piece</v>
          </cell>
          <cell r="F1056" t="str">
            <v>Shillings</v>
          </cell>
          <cell r="G1056"/>
        </row>
        <row r="1057">
          <cell r="A1057">
            <v>3100</v>
          </cell>
          <cell r="B1057" t="str">
            <v>MEGHA INDUSTRIES</v>
          </cell>
          <cell r="C1057" t="str">
            <v>Mattress Standard (Ordinary) Foam</v>
          </cell>
          <cell r="D1057" t="str">
            <v>6X6X6"</v>
          </cell>
          <cell r="E1057" t="str">
            <v>Piece</v>
          </cell>
          <cell r="F1057" t="str">
            <v>Shillings</v>
          </cell>
          <cell r="G1057"/>
        </row>
        <row r="1058">
          <cell r="A1058">
            <v>3100</v>
          </cell>
          <cell r="B1058" t="str">
            <v>MEGHA INDUSTRIES</v>
          </cell>
          <cell r="C1058" t="str">
            <v>Mattress Standard (Ordinary) Foam</v>
          </cell>
          <cell r="D1058" t="str">
            <v>School Special 3X6X2"</v>
          </cell>
          <cell r="E1058" t="str">
            <v>Piece</v>
          </cell>
          <cell r="F1058" t="str">
            <v>Shillings</v>
          </cell>
          <cell r="G1058"/>
        </row>
        <row r="1059">
          <cell r="A1059">
            <v>3100</v>
          </cell>
          <cell r="B1059" t="str">
            <v>MEGHA INDUSTRIES</v>
          </cell>
          <cell r="C1059" t="str">
            <v>High Density Foam</v>
          </cell>
          <cell r="D1059" t="str">
            <v>4X6X6"</v>
          </cell>
          <cell r="E1059" t="str">
            <v>Piece</v>
          </cell>
          <cell r="F1059" t="str">
            <v>Shillings</v>
          </cell>
          <cell r="G1059"/>
        </row>
        <row r="1060">
          <cell r="A1060">
            <v>3100</v>
          </cell>
          <cell r="B1060" t="str">
            <v>MEGHA INDUSTRIES</v>
          </cell>
          <cell r="C1060" t="str">
            <v>High Density Foam</v>
          </cell>
          <cell r="D1060" t="str">
            <v>5X6X6"</v>
          </cell>
          <cell r="E1060" t="str">
            <v>Piece</v>
          </cell>
          <cell r="F1060" t="str">
            <v>Shillings</v>
          </cell>
          <cell r="G1060"/>
        </row>
        <row r="1061">
          <cell r="A1061">
            <v>3100</v>
          </cell>
          <cell r="B1061" t="str">
            <v xml:space="preserve">NILE HOUSE </v>
          </cell>
          <cell r="C1061" t="str">
            <v>Round chair</v>
          </cell>
          <cell r="D1061" t="str">
            <v>Round chair with Sponge/Cloth</v>
          </cell>
          <cell r="E1061" t="str">
            <v>piece</v>
          </cell>
          <cell r="F1061" t="str">
            <v>Shillings</v>
          </cell>
          <cell r="G1061"/>
        </row>
        <row r="1062">
          <cell r="A1062">
            <v>3100</v>
          </cell>
          <cell r="B1062" t="str">
            <v xml:space="preserve">NILE HOUSE </v>
          </cell>
          <cell r="C1062" t="str">
            <v>Chair</v>
          </cell>
          <cell r="D1062" t="str">
            <v>Chair - Dinning Look alike</v>
          </cell>
          <cell r="E1062" t="str">
            <v>piece</v>
          </cell>
          <cell r="F1062" t="str">
            <v>Shillings</v>
          </cell>
          <cell r="G1062"/>
        </row>
        <row r="1063">
          <cell r="A1063">
            <v>3100</v>
          </cell>
          <cell r="B1063" t="str">
            <v xml:space="preserve">NILE HOUSE </v>
          </cell>
          <cell r="C1063" t="str">
            <v>Bed with head board 6X6</v>
          </cell>
          <cell r="D1063" t="str">
            <v>Bed with head board 6 by 6</v>
          </cell>
          <cell r="E1063" t="str">
            <v>piece</v>
          </cell>
          <cell r="F1063" t="str">
            <v>Shillings</v>
          </cell>
          <cell r="G1063"/>
        </row>
        <row r="1064">
          <cell r="A1064">
            <v>3100</v>
          </cell>
          <cell r="B1064" t="str">
            <v xml:space="preserve">NILE HOUSE </v>
          </cell>
          <cell r="C1064" t="str">
            <v>Bed with head board 5X6</v>
          </cell>
          <cell r="D1064" t="str">
            <v>Bed with head board 5 by 6</v>
          </cell>
          <cell r="E1064" t="str">
            <v>piece</v>
          </cell>
          <cell r="F1064" t="str">
            <v>Shillings</v>
          </cell>
          <cell r="G1064"/>
        </row>
        <row r="1065">
          <cell r="A1065">
            <v>3100</v>
          </cell>
          <cell r="B1065" t="str">
            <v xml:space="preserve">NILE HOUSE </v>
          </cell>
          <cell r="C1065" t="str">
            <v>Bed without board 4X6</v>
          </cell>
          <cell r="D1065" t="str">
            <v>Bed without board 4 by 6</v>
          </cell>
          <cell r="E1065" t="str">
            <v>per piece</v>
          </cell>
          <cell r="F1065" t="str">
            <v>Shillings</v>
          </cell>
          <cell r="G1065"/>
        </row>
        <row r="1066">
          <cell r="A1066">
            <v>3100</v>
          </cell>
          <cell r="B1066" t="str">
            <v>CONSTRAWORKS LIMITED</v>
          </cell>
          <cell r="C1066" t="str">
            <v>Wardrobes (executive New)</v>
          </cell>
          <cell r="D1066" t="str">
            <v>Wardrobes (executive New)</v>
          </cell>
          <cell r="E1066" t="str">
            <v>Piece</v>
          </cell>
          <cell r="F1066" t="str">
            <v>Shillings</v>
          </cell>
          <cell r="G1066"/>
        </row>
        <row r="1067">
          <cell r="A1067">
            <v>3100</v>
          </cell>
          <cell r="B1067" t="str">
            <v>CONSTRAWORKS LIMITED</v>
          </cell>
          <cell r="C1067" t="str">
            <v>Beds</v>
          </cell>
          <cell r="D1067" t="str">
            <v>Beds</v>
          </cell>
          <cell r="E1067" t="str">
            <v>Piece</v>
          </cell>
          <cell r="F1067" t="str">
            <v>Shillings</v>
          </cell>
          <cell r="G1067"/>
        </row>
        <row r="1068">
          <cell r="A1068">
            <v>3100</v>
          </cell>
          <cell r="B1068" t="str">
            <v>CONSTRAWORKS LIMITED</v>
          </cell>
          <cell r="C1068" t="str">
            <v>Office Desks</v>
          </cell>
          <cell r="D1068" t="str">
            <v>Office Desks</v>
          </cell>
          <cell r="E1068" t="str">
            <v>Piece</v>
          </cell>
          <cell r="F1068" t="str">
            <v>Shillings</v>
          </cell>
          <cell r="G1068"/>
        </row>
        <row r="1069">
          <cell r="A1069">
            <v>3100</v>
          </cell>
          <cell r="B1069" t="str">
            <v>CONSTRAWORKS LIMITED</v>
          </cell>
          <cell r="C1069" t="str">
            <v>Door frames</v>
          </cell>
          <cell r="D1069" t="str">
            <v>Standard 1 door frame</v>
          </cell>
          <cell r="E1069" t="str">
            <v>Piece</v>
          </cell>
          <cell r="F1069" t="str">
            <v>Shillings</v>
          </cell>
          <cell r="G1069"/>
        </row>
        <row r="1070">
          <cell r="A1070">
            <v>3100</v>
          </cell>
          <cell r="B1070" t="str">
            <v>CONSTRAWORKS LIMITED</v>
          </cell>
          <cell r="C1070" t="str">
            <v>Door frames</v>
          </cell>
          <cell r="D1070" t="str">
            <v>Standard 2 door frame</v>
          </cell>
          <cell r="E1070" t="str">
            <v>Piece</v>
          </cell>
          <cell r="F1070" t="str">
            <v>Shillings</v>
          </cell>
          <cell r="G1070"/>
        </row>
        <row r="1071">
          <cell r="A1071">
            <v>3100</v>
          </cell>
          <cell r="B1071" t="str">
            <v>CONSTRAWORKS LIMITED</v>
          </cell>
          <cell r="C1071" t="str">
            <v>Boards</v>
          </cell>
          <cell r="D1071" t="str">
            <v>Ceiling boards</v>
          </cell>
          <cell r="E1071" t="str">
            <v>Piece</v>
          </cell>
          <cell r="F1071" t="str">
            <v>Shillings</v>
          </cell>
          <cell r="G1071"/>
        </row>
        <row r="1072">
          <cell r="A1072">
            <v>3100</v>
          </cell>
          <cell r="B1072" t="str">
            <v>CONSTRAWORKS LIMITED</v>
          </cell>
          <cell r="C1072" t="str">
            <v>Boards</v>
          </cell>
          <cell r="D1072" t="str">
            <v>Floor boards</v>
          </cell>
          <cell r="E1072" t="str">
            <v>Piece</v>
          </cell>
          <cell r="F1072" t="str">
            <v>Shillings</v>
          </cell>
          <cell r="G1072"/>
        </row>
        <row r="1073">
          <cell r="B1073" t="str">
            <v>Bedding mattress   (5'x6')- (Orthopaedic)</v>
          </cell>
          <cell r="C1073" t="str">
            <v>LEGACY INTERIORS (Former Suntrust)</v>
          </cell>
          <cell r="D1073" t="str">
            <v>LEGACY INTERIORS (Former Suntrust)</v>
          </cell>
          <cell r="E1073" t="str">
            <v>Piece(s)</v>
          </cell>
          <cell r="F1073" t="str">
            <v>Shillings</v>
          </cell>
          <cell r="G1073"/>
        </row>
        <row r="1074">
          <cell r="B1074" t="str">
            <v>Bedding mattress   (6'x6')- (Orthopaedic)</v>
          </cell>
          <cell r="C1074" t="str">
            <v>Comfort Interiors</v>
          </cell>
          <cell r="D1074" t="str">
            <v>Comfort Interiors</v>
          </cell>
          <cell r="E1074" t="str">
            <v>Piece(s)</v>
          </cell>
          <cell r="F1074" t="str">
            <v>Shillings</v>
          </cell>
          <cell r="G1074"/>
        </row>
        <row r="1075">
          <cell r="B1075" t="str">
            <v>Bedding mattress   (6'x6')- (Orthopaedic)</v>
          </cell>
          <cell r="C1075" t="str">
            <v>Moon Light /Nisha Interiors</v>
          </cell>
          <cell r="D1075" t="str">
            <v>Moon Light /Nisha Interiors</v>
          </cell>
          <cell r="E1075" t="str">
            <v>Piece(s)</v>
          </cell>
          <cell r="F1075" t="str">
            <v>Shillings</v>
          </cell>
          <cell r="G1075"/>
        </row>
        <row r="1076">
          <cell r="B1076" t="str">
            <v>CREST FOAM 30'' x 3''</v>
          </cell>
          <cell r="C1076" t="str">
            <v>Moonlight/ Nisha Interiors</v>
          </cell>
          <cell r="D1076" t="str">
            <v>Moonlight/ Nisha Interiors</v>
          </cell>
          <cell r="E1076" t="str">
            <v>Piece(s)</v>
          </cell>
          <cell r="F1076" t="str">
            <v>Shillings</v>
          </cell>
          <cell r="G1076"/>
        </row>
        <row r="1077">
          <cell r="B1077" t="str">
            <v>CREST FOAM 36'' x 4''</v>
          </cell>
          <cell r="C1077" t="str">
            <v>Moonlight/ Nisha Interiors</v>
          </cell>
          <cell r="D1077" t="str">
            <v>Moonlight/ Nisha Interiors</v>
          </cell>
          <cell r="E1077" t="str">
            <v>Piece(s)</v>
          </cell>
          <cell r="F1077" t="str">
            <v>Shillings</v>
          </cell>
          <cell r="G1077"/>
        </row>
        <row r="1078">
          <cell r="B1078" t="str">
            <v>CREST FOAM 36'' x 6''</v>
          </cell>
          <cell r="C1078" t="str">
            <v>Moonlight/ Nisha Interiors</v>
          </cell>
          <cell r="D1078" t="str">
            <v>Moonlight/ Nisha Interiors</v>
          </cell>
          <cell r="E1078" t="str">
            <v>Piece(s)</v>
          </cell>
          <cell r="F1078" t="str">
            <v>Shillings</v>
          </cell>
          <cell r="G1078"/>
        </row>
        <row r="1079">
          <cell r="B1079" t="str">
            <v>ROYAL FOAM (MEGA FOAM) 30'' x 3''</v>
          </cell>
          <cell r="C1079" t="str">
            <v>J.K Enterprises</v>
          </cell>
          <cell r="D1079" t="str">
            <v>J.K Enterprises</v>
          </cell>
          <cell r="E1079" t="str">
            <v>Piece(s)</v>
          </cell>
          <cell r="F1079" t="str">
            <v>Shillings</v>
          </cell>
          <cell r="G1079"/>
        </row>
        <row r="1080">
          <cell r="B1080" t="str">
            <v>ROYAL FOAM (MEGA FOAM) 36'' x 4''</v>
          </cell>
          <cell r="C1080" t="str">
            <v>J.K Enterprises</v>
          </cell>
          <cell r="D1080" t="str">
            <v>J.K Enterprises</v>
          </cell>
          <cell r="E1080" t="str">
            <v>Piece(s)</v>
          </cell>
          <cell r="F1080" t="str">
            <v>Shillings</v>
          </cell>
          <cell r="G1080"/>
        </row>
        <row r="1081">
          <cell r="B1081" t="str">
            <v>ROYAL FOAM (MEGA FOAM) 36'' x 6''</v>
          </cell>
          <cell r="C1081" t="str">
            <v>J.K Enterprises</v>
          </cell>
          <cell r="D1081" t="str">
            <v>J.K Enterprises</v>
          </cell>
          <cell r="E1081" t="str">
            <v>Piece(s)</v>
          </cell>
          <cell r="F1081" t="str">
            <v>Shillings</v>
          </cell>
          <cell r="G1081"/>
        </row>
        <row r="1082">
          <cell r="B1082" t="str">
            <v>VITA FOAM 30'' x 3''</v>
          </cell>
          <cell r="C1082" t="str">
            <v>LEGACY INTERIORS</v>
          </cell>
          <cell r="D1082" t="str">
            <v>LEGACY INTERIORS</v>
          </cell>
          <cell r="E1082" t="str">
            <v>Piece(s)</v>
          </cell>
          <cell r="F1082" t="str">
            <v>Shillings</v>
          </cell>
          <cell r="G1082"/>
        </row>
        <row r="1083">
          <cell r="B1083" t="str">
            <v>VITA FOAM 36'' x 4''</v>
          </cell>
          <cell r="C1083" t="str">
            <v>LEGACY INTERIORS</v>
          </cell>
          <cell r="D1083" t="str">
            <v>LEGACY INTERIORS</v>
          </cell>
          <cell r="E1083" t="str">
            <v>Piece(s)</v>
          </cell>
          <cell r="F1083" t="str">
            <v>Shillings</v>
          </cell>
          <cell r="G1083"/>
        </row>
        <row r="1084">
          <cell r="B1084" t="str">
            <v>VITA FOAM 36'' x 6''</v>
          </cell>
          <cell r="C1084" t="str">
            <v>LEGACY INTERIORS</v>
          </cell>
          <cell r="D1084" t="str">
            <v>LEGACY INTERIORS</v>
          </cell>
          <cell r="E1084" t="str">
            <v>Piece(s)</v>
          </cell>
          <cell r="F1084" t="str">
            <v>Shillings</v>
          </cell>
          <cell r="G1084"/>
        </row>
        <row r="1085">
          <cell r="B1085" t="str">
            <v>Bedding mattress(5'x6')- (Orthopaedic)</v>
          </cell>
          <cell r="C1085" t="str">
            <v xml:space="preserve">Nisha interiors </v>
          </cell>
          <cell r="D1085" t="str">
            <v xml:space="preserve">Nisha interiors </v>
          </cell>
          <cell r="E1085" t="str">
            <v>Piece(s)</v>
          </cell>
          <cell r="F1085" t="str">
            <v>Shillings</v>
          </cell>
          <cell r="G1085"/>
        </row>
        <row r="1086">
          <cell r="B1086" t="str">
            <v>Bedding mattress(5'x6')- (Orthopaedic)</v>
          </cell>
          <cell r="C1086" t="str">
            <v>LEGACY INTERIORS (Former Suntrust)</v>
          </cell>
          <cell r="D1086" t="str">
            <v>LEGACY INTERIORS (Former Suntrust)</v>
          </cell>
          <cell r="E1086" t="str">
            <v>Piece(s)</v>
          </cell>
          <cell r="F1086" t="str">
            <v>Shillings</v>
          </cell>
          <cell r="G1086"/>
        </row>
        <row r="1087">
          <cell r="B1087" t="str">
            <v>KING SIZE BED  -Mahogany</v>
          </cell>
          <cell r="C1087" t="str">
            <v>Erimu Furniture</v>
          </cell>
          <cell r="D1087" t="str">
            <v>Erimu Furniture</v>
          </cell>
          <cell r="E1087" t="str">
            <v>1Unit</v>
          </cell>
          <cell r="F1087" t="str">
            <v>Shillings</v>
          </cell>
          <cell r="G1087"/>
        </row>
        <row r="1088">
          <cell r="B1088" t="str">
            <v>Sofa sets - 5 seater-1st obs</v>
          </cell>
          <cell r="C1088" t="str">
            <v>Vision Plus furniture,Rubaga Road</v>
          </cell>
          <cell r="D1088" t="str">
            <v>Vision Plus furniture,Rubaga Road</v>
          </cell>
          <cell r="E1088" t="str">
            <v>1Set</v>
          </cell>
          <cell r="F1088" t="str">
            <v>Shillings</v>
          </cell>
          <cell r="G1088"/>
        </row>
        <row r="1089">
          <cell r="B1089" t="str">
            <v>Sofa sets - 5 seater-2nd obs</v>
          </cell>
          <cell r="C1089" t="str">
            <v>Vision Plus furniture,Rubaga Road</v>
          </cell>
          <cell r="D1089" t="str">
            <v>Vision Plus furniture,Rubaga Road</v>
          </cell>
          <cell r="E1089" t="str">
            <v>1Set</v>
          </cell>
          <cell r="F1089" t="str">
            <v>Shillings</v>
          </cell>
          <cell r="G1089"/>
        </row>
        <row r="1090">
          <cell r="B1090" t="str">
            <v xml:space="preserve">SOFA SET -  7 seater  </v>
          </cell>
          <cell r="C1090" t="str">
            <v>Erimu</v>
          </cell>
          <cell r="D1090" t="str">
            <v>Erimu</v>
          </cell>
          <cell r="E1090" t="str">
            <v>1Set</v>
          </cell>
          <cell r="F1090" t="str">
            <v>Shillings</v>
          </cell>
          <cell r="G1090"/>
        </row>
        <row r="1091">
          <cell r="B1091" t="str">
            <v>Wooden Coffee set</v>
          </cell>
          <cell r="C1091" t="str">
            <v>Erimu Furniture</v>
          </cell>
          <cell r="D1091" t="str">
            <v>Erimu Furniture</v>
          </cell>
          <cell r="E1091" t="str">
            <v>1Set</v>
          </cell>
          <cell r="F1091" t="str">
            <v>Shillings</v>
          </cell>
          <cell r="G1091"/>
        </row>
        <row r="1092">
          <cell r="B1092" t="str">
            <v>Bed Single (3x6)ft OR 36"x72"</v>
          </cell>
          <cell r="C1092" t="str">
            <v>NKOBA (Namanya(Mvule/Mahogany )</v>
          </cell>
          <cell r="D1092" t="str">
            <v>NKOBA (Namanya(Mvule/Mahogany )</v>
          </cell>
          <cell r="E1092" t="str">
            <v>1Unit</v>
          </cell>
          <cell r="F1092" t="str">
            <v>Shillings</v>
          </cell>
          <cell r="G1092"/>
        </row>
        <row r="1093">
          <cell r="B1093" t="str">
            <v>Bed Single (3x6)ft OR 36"x72"</v>
          </cell>
          <cell r="C1093" t="str">
            <v>Kabuye Furniture Workshop</v>
          </cell>
          <cell r="D1093" t="str">
            <v>Kabuye Furniture Workshop</v>
          </cell>
          <cell r="E1093" t="str">
            <v>1Unit</v>
          </cell>
          <cell r="F1093" t="str">
            <v>Shillings</v>
          </cell>
          <cell r="G1093"/>
        </row>
        <row r="1094">
          <cell r="B1094" t="str">
            <v>Bed Single (3x6)ft OR 36"x72"</v>
          </cell>
          <cell r="C1094" t="str">
            <v>Tandaza Furniture workshop</v>
          </cell>
          <cell r="D1094" t="str">
            <v>Tandaza Furniture workshop</v>
          </cell>
          <cell r="E1094" t="str">
            <v>1Unit</v>
          </cell>
          <cell r="F1094" t="str">
            <v>Shillings</v>
          </cell>
          <cell r="G1094"/>
        </row>
        <row r="1095">
          <cell r="B1095" t="str">
            <v>Bed Single (3x6)ft OR 36"x72"</v>
          </cell>
          <cell r="C1095" t="str">
            <v>BROTHER'S UNITED WORKSHOP(Nkoba)</v>
          </cell>
          <cell r="D1095" t="str">
            <v>BROTHER'S UNITED WORKSHOP(Nkoba)</v>
          </cell>
          <cell r="E1095" t="str">
            <v>1Unit</v>
          </cell>
          <cell r="F1095" t="str">
            <v>Shillings</v>
          </cell>
          <cell r="G1095"/>
        </row>
        <row r="1096">
          <cell r="B1096" t="str">
            <v>Bed Single (3x6)ft OR 36"x72"</v>
          </cell>
          <cell r="C1096" t="str">
            <v>TRUST IN GOD FURNITURE MAT(Nkob)</v>
          </cell>
          <cell r="D1096" t="str">
            <v>TRUST IN GOD FURNITURE MAT(Nkob)</v>
          </cell>
          <cell r="E1096" t="str">
            <v>1Unit</v>
          </cell>
          <cell r="F1096" t="str">
            <v>Shillings</v>
          </cell>
          <cell r="G1096"/>
        </row>
        <row r="1097">
          <cell r="B1097" t="str">
            <v>Bed Single (3x6)ft OR 36"x72"</v>
          </cell>
          <cell r="C1097" t="str">
            <v>JMK Carpentry &amp; Joinery workshop</v>
          </cell>
          <cell r="D1097" t="str">
            <v>JMK Carpentry &amp; Joinery workshop</v>
          </cell>
          <cell r="E1097" t="str">
            <v>1Unit</v>
          </cell>
          <cell r="F1097" t="str">
            <v>Shillings</v>
          </cell>
          <cell r="G1097"/>
        </row>
        <row r="1098">
          <cell r="B1098" t="str">
            <v>Bed Single (3x6)ft OR 36"x72"</v>
          </cell>
          <cell r="C1098" t="str">
            <v>Wandegeya Kubiri</v>
          </cell>
          <cell r="D1098" t="str">
            <v>Wandegeya Kubiri</v>
          </cell>
          <cell r="E1098" t="str">
            <v>1Unit</v>
          </cell>
          <cell r="F1098" t="str">
            <v>Shillings</v>
          </cell>
          <cell r="G1098"/>
        </row>
        <row r="1099">
          <cell r="B1099" t="str">
            <v>Bed Single (3x6)ft OR 36"x72"</v>
          </cell>
          <cell r="C1099" t="str">
            <v>BUKEDDE FURNITURE MAT(Nkoba)</v>
          </cell>
          <cell r="D1099" t="str">
            <v>BUKEDDE FURNITURE MAT(Nkoba)</v>
          </cell>
          <cell r="E1099" t="str">
            <v>1Unit</v>
          </cell>
          <cell r="F1099" t="str">
            <v>Shillings</v>
          </cell>
          <cell r="G1099"/>
        </row>
        <row r="1100">
          <cell r="B1100" t="str">
            <v>Bed Single (3x6)ft OR 36"x72"</v>
          </cell>
          <cell r="C1100" t="str">
            <v>BYARUHANGA(Mvule/Mahogany)</v>
          </cell>
          <cell r="D1100" t="str">
            <v>BYARUHANGA(Mvule/Mahogany)</v>
          </cell>
          <cell r="E1100" t="str">
            <v>1Unit</v>
          </cell>
          <cell r="F1100" t="str">
            <v>Shillings</v>
          </cell>
          <cell r="G1100"/>
        </row>
        <row r="1101">
          <cell r="B1101" t="str">
            <v>Bed Medium (3.5x6)ft OR 42"x72"</v>
          </cell>
          <cell r="C1101" t="str">
            <v xml:space="preserve">NKOBA (Namanya </v>
          </cell>
          <cell r="D1101" t="str">
            <v xml:space="preserve">NKOBA (Namanya </v>
          </cell>
          <cell r="E1101" t="str">
            <v>1Unit</v>
          </cell>
          <cell r="F1101" t="str">
            <v>Shillings</v>
          </cell>
          <cell r="G1101"/>
        </row>
        <row r="1102">
          <cell r="B1102" t="str">
            <v>Bed Medium (3.5x6)ft OR 42"x72"</v>
          </cell>
          <cell r="C1102" t="str">
            <v>Kabuye Furniture Workshop</v>
          </cell>
          <cell r="D1102" t="str">
            <v>Kabuye Furniture Workshop</v>
          </cell>
          <cell r="E1102" t="str">
            <v>1Unit</v>
          </cell>
          <cell r="F1102" t="str">
            <v>Shillings</v>
          </cell>
          <cell r="G1102"/>
        </row>
        <row r="1103">
          <cell r="B1103" t="str">
            <v>Bed Medium (3.5x6)ft OR 42"x72"</v>
          </cell>
          <cell r="C1103" t="str">
            <v>SHEIRA FURNITURE(Nsambya)</v>
          </cell>
          <cell r="D1103" t="str">
            <v>SHEIRA FURNITURE(Nsambya)</v>
          </cell>
          <cell r="E1103" t="str">
            <v>1Unit</v>
          </cell>
          <cell r="F1103" t="str">
            <v>Shillings</v>
          </cell>
          <cell r="G1103"/>
        </row>
        <row r="1104">
          <cell r="B1104" t="str">
            <v>Bed Medium (3.5x6)ft OR 42"x72"</v>
          </cell>
          <cell r="C1104" t="str">
            <v>Tandaza Furniture workshop</v>
          </cell>
          <cell r="D1104" t="str">
            <v>Tandaza Furniture workshop</v>
          </cell>
          <cell r="E1104" t="str">
            <v>1Unit</v>
          </cell>
          <cell r="F1104" t="str">
            <v>Shillings</v>
          </cell>
          <cell r="G1104"/>
        </row>
        <row r="1105">
          <cell r="B1105" t="str">
            <v>Bed Medium (3.5x6)ft OR 42"x72"</v>
          </cell>
          <cell r="C1105" t="str">
            <v>BROTHER'S UNITED WORKSHOP(Nkoba)</v>
          </cell>
          <cell r="D1105" t="str">
            <v>BROTHER'S UNITED WORKSHOP(Nkoba)</v>
          </cell>
          <cell r="E1105" t="str">
            <v>1Unit</v>
          </cell>
          <cell r="F1105" t="str">
            <v>Shillings</v>
          </cell>
          <cell r="G1105"/>
        </row>
        <row r="1106">
          <cell r="B1106" t="str">
            <v>Bed Medium (3.5x6)ft OR 42"x72"</v>
          </cell>
          <cell r="C1106" t="str">
            <v>TRUST IN GOD FURNITURE MAT(Nkob)</v>
          </cell>
          <cell r="D1106" t="str">
            <v>TRUST IN GOD FURNITURE MAT(Nkob)</v>
          </cell>
          <cell r="E1106" t="str">
            <v>1Unit</v>
          </cell>
          <cell r="F1106" t="str">
            <v>Shillings</v>
          </cell>
          <cell r="G1106"/>
        </row>
        <row r="1107">
          <cell r="B1107" t="str">
            <v>Bed Medium (3.5x6)ft OR 42"x72"</v>
          </cell>
          <cell r="C1107" t="str">
            <v>JMK Carpentry &amp; Joinery workshop</v>
          </cell>
          <cell r="D1107" t="str">
            <v>JMK Carpentry &amp; Joinery workshop</v>
          </cell>
          <cell r="E1107" t="str">
            <v>1Unit</v>
          </cell>
          <cell r="F1107" t="str">
            <v>Shillings</v>
          </cell>
          <cell r="G1107"/>
        </row>
        <row r="1108">
          <cell r="B1108" t="str">
            <v>Bed Medium (3.5x6)ft OR 42"x72"</v>
          </cell>
          <cell r="C1108" t="str">
            <v>BUKEDDE FURNITURE MAT(Nkoba)</v>
          </cell>
          <cell r="D1108" t="str">
            <v>BUKEDDE FURNITURE MAT(Nkoba)</v>
          </cell>
          <cell r="E1108" t="str">
            <v>1Unit</v>
          </cell>
          <cell r="F1108" t="str">
            <v>Shillings</v>
          </cell>
          <cell r="G1108"/>
        </row>
        <row r="1109">
          <cell r="B1109" t="str">
            <v>Bed Medium (3.5x6)ft OR 42"x72"</v>
          </cell>
          <cell r="C1109" t="str">
            <v>BYARUHANGA(Mvule/Mahogany)</v>
          </cell>
          <cell r="D1109" t="str">
            <v>BYARUHANGA(Mvule/Mahogany)</v>
          </cell>
          <cell r="E1109" t="str">
            <v>1Unit</v>
          </cell>
          <cell r="F1109" t="str">
            <v>Shillings</v>
          </cell>
          <cell r="G1109"/>
        </row>
        <row r="1110">
          <cell r="B1110" t="str">
            <v>Bed Medium (3.5x6)ft OR 42"x72"</v>
          </cell>
          <cell r="C1110" t="str">
            <v>Wandegeya Kubiri</v>
          </cell>
          <cell r="D1110" t="str">
            <v>Wandegeya Kubiri</v>
          </cell>
          <cell r="E1110" t="str">
            <v>1Unit</v>
          </cell>
          <cell r="F1110" t="str">
            <v>Shillings</v>
          </cell>
          <cell r="G1110"/>
        </row>
        <row r="1111">
          <cell r="B1111" t="str">
            <v>Side Boards</v>
          </cell>
          <cell r="C1111" t="str">
            <v>NKOBA (Namanya (Mahagony/mvule-Exucutive)</v>
          </cell>
          <cell r="D1111" t="str">
            <v>NKOBA (Namanya (Mahagony/mvule-Exucutive)</v>
          </cell>
          <cell r="E1111" t="str">
            <v>1Unit</v>
          </cell>
          <cell r="F1111" t="str">
            <v>Shillings</v>
          </cell>
          <cell r="G1111"/>
        </row>
        <row r="1112">
          <cell r="B1112" t="str">
            <v>Side Boards</v>
          </cell>
          <cell r="C1112" t="str">
            <v>Kabuye Furniture Workshop</v>
          </cell>
          <cell r="D1112" t="str">
            <v>Kabuye Furniture Workshop</v>
          </cell>
          <cell r="E1112" t="str">
            <v>1Unit</v>
          </cell>
          <cell r="F1112" t="str">
            <v>Shillings</v>
          </cell>
          <cell r="G1112"/>
        </row>
        <row r="1113">
          <cell r="B1113" t="str">
            <v>Side Boards</v>
          </cell>
          <cell r="C1113" t="str">
            <v>SHEIRA FURNITURE(Nsambya)</v>
          </cell>
          <cell r="D1113" t="str">
            <v>SHEIRA FURNITURE(Nsambya)</v>
          </cell>
          <cell r="E1113" t="str">
            <v>1Unit</v>
          </cell>
          <cell r="F1113" t="str">
            <v>Shillings</v>
          </cell>
          <cell r="G1113"/>
        </row>
        <row r="1114">
          <cell r="B1114" t="str">
            <v>Side Boards</v>
          </cell>
          <cell r="C1114" t="str">
            <v>Tandaza Furniture workshop</v>
          </cell>
          <cell r="D1114" t="str">
            <v>Tandaza Furniture workshop</v>
          </cell>
          <cell r="E1114" t="str">
            <v>1Unit</v>
          </cell>
          <cell r="F1114" t="str">
            <v>Shillings</v>
          </cell>
          <cell r="G1114"/>
        </row>
        <row r="1115">
          <cell r="B1115" t="str">
            <v>Side Boards</v>
          </cell>
          <cell r="C1115" t="str">
            <v>BROTHER'S UNITED WORKSHOP(Nkoba)</v>
          </cell>
          <cell r="D1115" t="str">
            <v>BROTHER'S UNITED WORKSHOP(Nkoba)</v>
          </cell>
          <cell r="E1115" t="str">
            <v>1Unit</v>
          </cell>
          <cell r="F1115" t="str">
            <v>Shillings</v>
          </cell>
          <cell r="G1115"/>
        </row>
        <row r="1116">
          <cell r="B1116" t="str">
            <v>Side Boards</v>
          </cell>
          <cell r="C1116" t="str">
            <v>TRUST IN GOD FURNITURE MAT(Nkob)</v>
          </cell>
          <cell r="D1116" t="str">
            <v>TRUST IN GOD FURNITURE MAT(Nkob)</v>
          </cell>
          <cell r="E1116" t="str">
            <v>1Unit</v>
          </cell>
          <cell r="F1116" t="str">
            <v>Shillings</v>
          </cell>
          <cell r="G1116"/>
        </row>
        <row r="1117">
          <cell r="B1117" t="str">
            <v>Side Boards</v>
          </cell>
          <cell r="C1117" t="str">
            <v>JMK Carpentry &amp; Joinery workshop</v>
          </cell>
          <cell r="D1117" t="str">
            <v>JMK Carpentry &amp; Joinery workshop</v>
          </cell>
          <cell r="E1117" t="str">
            <v>1Unit</v>
          </cell>
          <cell r="F1117" t="str">
            <v>Shillings</v>
          </cell>
          <cell r="G1117"/>
        </row>
        <row r="1118">
          <cell r="B1118" t="str">
            <v>Side Boards</v>
          </cell>
          <cell r="C1118" t="str">
            <v>BUKEDDE FURNITURE MAT(musambyA/sypress)</v>
          </cell>
          <cell r="D1118" t="str">
            <v>BUKEDDE FURNITURE MAT(musambyA/sypress)</v>
          </cell>
          <cell r="E1118" t="str">
            <v>1Unit</v>
          </cell>
          <cell r="F1118" t="str">
            <v>Shillings</v>
          </cell>
          <cell r="G1118"/>
        </row>
        <row r="1119">
          <cell r="B1119" t="str">
            <v>Side Boards</v>
          </cell>
          <cell r="C1119" t="str">
            <v>Wandegeya Kubiri</v>
          </cell>
          <cell r="D1119" t="str">
            <v>Wandegeya Kubiri</v>
          </cell>
          <cell r="E1119" t="str">
            <v>1Unit</v>
          </cell>
          <cell r="F1119" t="str">
            <v>Shillings</v>
          </cell>
          <cell r="G1119"/>
        </row>
        <row r="1120">
          <cell r="B1120" t="str">
            <v>Side Boards</v>
          </cell>
          <cell r="C1120" t="str">
            <v>BYARUHANGA(Mvule/Mahogany)</v>
          </cell>
          <cell r="D1120" t="str">
            <v>BYARUHANGA(Mvule/Mahogany)</v>
          </cell>
          <cell r="E1120" t="str">
            <v>1Unit</v>
          </cell>
          <cell r="F1120" t="str">
            <v>Shillings</v>
          </cell>
          <cell r="G1120"/>
        </row>
        <row r="1121">
          <cell r="B1121" t="str">
            <v>Sofa sets</v>
          </cell>
          <cell r="C1121" t="str">
            <v>NKOBA (Namanya )</v>
          </cell>
          <cell r="D1121" t="str">
            <v>NKOBA (Namanya )</v>
          </cell>
          <cell r="E1121" t="str">
            <v>1Unit</v>
          </cell>
          <cell r="F1121" t="str">
            <v>Shillings</v>
          </cell>
          <cell r="G1121"/>
        </row>
        <row r="1122">
          <cell r="B1122" t="str">
            <v>Sofa sets</v>
          </cell>
          <cell r="C1122" t="str">
            <v>Wandegeya Kubiri</v>
          </cell>
          <cell r="D1122" t="str">
            <v>Wandegeya Kubiri</v>
          </cell>
          <cell r="E1122" t="str">
            <v>1Unit</v>
          </cell>
          <cell r="F1122" t="str">
            <v>Shillings</v>
          </cell>
          <cell r="G1122"/>
        </row>
        <row r="1123">
          <cell r="B1123" t="str">
            <v>Sofa sets</v>
          </cell>
          <cell r="C1123" t="str">
            <v>BYARUHANGA(Mvule/Mahogany)</v>
          </cell>
          <cell r="D1123" t="str">
            <v>BYARUHANGA(Mvule/Mahogany)</v>
          </cell>
          <cell r="E1123" t="str">
            <v>1Unit</v>
          </cell>
          <cell r="F1123" t="str">
            <v>Shillings</v>
          </cell>
          <cell r="G1123"/>
        </row>
        <row r="1124">
          <cell r="B1124" t="str">
            <v>Coffee Set</v>
          </cell>
          <cell r="C1124" t="str">
            <v>NKOBA (Namanya (Mvule/mahogany-Square)</v>
          </cell>
          <cell r="D1124" t="str">
            <v>NKOBA (Namanya (Mvule/mahogany-Square)</v>
          </cell>
          <cell r="E1124" t="str">
            <v>1Unit</v>
          </cell>
          <cell r="F1124" t="str">
            <v>Shillings</v>
          </cell>
          <cell r="G1124"/>
        </row>
        <row r="1125">
          <cell r="B1125" t="str">
            <v>Coffee Set</v>
          </cell>
          <cell r="C1125" t="str">
            <v>Kabuye Furniture Workshop</v>
          </cell>
          <cell r="D1125" t="str">
            <v>Kabuye Furniture Workshop</v>
          </cell>
          <cell r="E1125" t="str">
            <v>1Unit</v>
          </cell>
          <cell r="F1125" t="str">
            <v>Shillings</v>
          </cell>
          <cell r="G1125"/>
        </row>
        <row r="1126">
          <cell r="B1126" t="str">
            <v>Coffee Set</v>
          </cell>
          <cell r="C1126" t="str">
            <v>SHEIRA FURNITURE(Nsambya)</v>
          </cell>
          <cell r="D1126" t="str">
            <v>SHEIRA FURNITURE(Nsambya)</v>
          </cell>
          <cell r="E1126" t="str">
            <v>1Unit</v>
          </cell>
          <cell r="F1126" t="str">
            <v>Shillings</v>
          </cell>
          <cell r="G1126"/>
        </row>
        <row r="1127">
          <cell r="B1127" t="str">
            <v>Coffee Set</v>
          </cell>
          <cell r="C1127" t="str">
            <v>BROTHER'S UNITED WORKSHOP(Nkoba)</v>
          </cell>
          <cell r="D1127" t="str">
            <v>BROTHER'S UNITED WORKSHOP(Nkoba)</v>
          </cell>
          <cell r="E1127" t="str">
            <v>1Unit</v>
          </cell>
          <cell r="F1127" t="str">
            <v>Shillings</v>
          </cell>
          <cell r="G1127"/>
        </row>
        <row r="1128">
          <cell r="B1128" t="str">
            <v>Coffee Set</v>
          </cell>
          <cell r="C1128" t="str">
            <v>TRUST IN GOD FURNITURE MAT(Nkob)</v>
          </cell>
          <cell r="D1128" t="str">
            <v>TRUST IN GOD FURNITURE MAT(Nkob)</v>
          </cell>
          <cell r="E1128" t="str">
            <v>1Unit</v>
          </cell>
          <cell r="F1128" t="str">
            <v>Shillings</v>
          </cell>
          <cell r="G1128"/>
        </row>
        <row r="1129">
          <cell r="B1129" t="str">
            <v>Coffee Set</v>
          </cell>
          <cell r="C1129" t="str">
            <v>JMK Carpentry &amp; Joinery workshop</v>
          </cell>
          <cell r="D1129" t="str">
            <v>JMK Carpentry &amp; Joinery workshop</v>
          </cell>
          <cell r="E1129" t="str">
            <v>1Unit</v>
          </cell>
          <cell r="F1129" t="str">
            <v>Shillings</v>
          </cell>
          <cell r="G1129"/>
        </row>
        <row r="1130">
          <cell r="B1130" t="str">
            <v>Coffee Set</v>
          </cell>
          <cell r="C1130" t="str">
            <v>BUKEDDE FURNITURE MAT(musambyA/sypress)</v>
          </cell>
          <cell r="D1130" t="str">
            <v>BUKEDDE FURNITURE MAT(musambyA/sypress)</v>
          </cell>
          <cell r="E1130" t="str">
            <v>1Unit</v>
          </cell>
          <cell r="F1130" t="str">
            <v>Shillings</v>
          </cell>
          <cell r="G1130"/>
        </row>
        <row r="1131">
          <cell r="B1131" t="str">
            <v>Coffee Set</v>
          </cell>
          <cell r="C1131" t="str">
            <v>Wandegeya Kubiri</v>
          </cell>
          <cell r="D1131" t="str">
            <v>Wandegeya Kubiri</v>
          </cell>
          <cell r="E1131" t="str">
            <v>1Unit</v>
          </cell>
          <cell r="F1131" t="str">
            <v>Shillings</v>
          </cell>
          <cell r="G1131"/>
        </row>
        <row r="1132">
          <cell r="B1132" t="str">
            <v>Coffee Set</v>
          </cell>
          <cell r="C1132" t="str">
            <v>BYARUHANGA(Mvule/Mahogany)</v>
          </cell>
          <cell r="D1132" t="str">
            <v>BYARUHANGA(Mvule/Mahogany)</v>
          </cell>
          <cell r="E1132" t="str">
            <v>1Unit</v>
          </cell>
          <cell r="F1132" t="str">
            <v>Shillings</v>
          </cell>
          <cell r="G1132"/>
        </row>
        <row r="1133">
          <cell r="B1133" t="str">
            <v xml:space="preserve">KING SIZE BED        </v>
          </cell>
          <cell r="C1133" t="str">
            <v>Footsteps furniture</v>
          </cell>
          <cell r="D1133" t="str">
            <v>Footsteps furniture</v>
          </cell>
          <cell r="E1133" t="str">
            <v>1Piece(s)</v>
          </cell>
          <cell r="F1133" t="str">
            <v>Shillings</v>
          </cell>
          <cell r="G1133"/>
        </row>
        <row r="1134">
          <cell r="B1134" t="str">
            <v>SOFA SET -  7 seater (Leather)</v>
          </cell>
          <cell r="C1134" t="str">
            <v>Footsteps furniture</v>
          </cell>
          <cell r="D1134" t="str">
            <v>Footsteps furniture</v>
          </cell>
          <cell r="E1134" t="str">
            <v>1set</v>
          </cell>
          <cell r="F1134" t="str">
            <v>Shillings</v>
          </cell>
          <cell r="G1134"/>
        </row>
        <row r="1135">
          <cell r="B1135" t="str">
            <v>Wooden Coffee set</v>
          </cell>
          <cell r="C1135" t="str">
            <v>Footsteps furniture</v>
          </cell>
          <cell r="D1135" t="str">
            <v>Footsteps furniture</v>
          </cell>
          <cell r="E1135" t="str">
            <v>1set</v>
          </cell>
          <cell r="F1135" t="str">
            <v>Shillings</v>
          </cell>
          <cell r="G1135"/>
        </row>
        <row r="1136">
          <cell r="B1136" t="str">
            <v>Wooden Coffee set</v>
          </cell>
          <cell r="C1136" t="str">
            <v>Erimu Furniture</v>
          </cell>
          <cell r="D1136" t="str">
            <v>Erimu Furniture</v>
          </cell>
          <cell r="E1136" t="str">
            <v>1set</v>
          </cell>
          <cell r="F1136" t="str">
            <v>Shillings</v>
          </cell>
          <cell r="G1136"/>
        </row>
        <row r="1137">
          <cell r="A1137"/>
          <cell r="B1137"/>
          <cell r="C1137"/>
          <cell r="D1137"/>
          <cell r="E1137"/>
          <cell r="F1137"/>
          <cell r="G1137"/>
        </row>
        <row r="1138">
          <cell r="A1138" t="str">
            <v>UTILITIES</v>
          </cell>
        </row>
        <row r="1139">
          <cell r="B1139" t="str">
            <v>ELECTRICITY, GAS, STEAM AND AIR CONDITIONING SUPPLY</v>
          </cell>
        </row>
        <row r="1140">
          <cell r="B1140" t="str">
            <v xml:space="preserve"> Electric power generation, transmission and distribution</v>
          </cell>
          <cell r="G1140">
            <v>52.067266036445503</v>
          </cell>
        </row>
        <row r="1141">
          <cell r="A1141" t="str">
            <v>3510</v>
          </cell>
          <cell r="B1141" t="str">
            <v xml:space="preserve"> Electric power generation, transmission and distribution</v>
          </cell>
          <cell r="G1141"/>
        </row>
        <row r="1142">
          <cell r="A1142">
            <v>3510</v>
          </cell>
          <cell r="B1142" t="str">
            <v>BUJAGALI ENERGY LTD</v>
          </cell>
          <cell r="C1142" t="str">
            <v>Hydro Electricity</v>
          </cell>
          <cell r="D1142" t="str">
            <v>Hydro Electricity</v>
          </cell>
          <cell r="E1142" t="str">
            <v>Kwh</v>
          </cell>
          <cell r="F1142" t="str">
            <v>Shillings</v>
          </cell>
          <cell r="G1142"/>
        </row>
        <row r="1143">
          <cell r="A1143">
            <v>3510</v>
          </cell>
          <cell r="B1143" t="str">
            <v>ELECTRO-MAX</v>
          </cell>
          <cell r="C1143" t="str">
            <v>Thermal  Electricity</v>
          </cell>
          <cell r="D1143" t="str">
            <v>Thermal  Electricity</v>
          </cell>
          <cell r="E1143" t="str">
            <v>Kwh</v>
          </cell>
          <cell r="F1143" t="str">
            <v>Shillings</v>
          </cell>
          <cell r="G1143"/>
        </row>
        <row r="1144">
          <cell r="A1144">
            <v>3510</v>
          </cell>
          <cell r="B1144" t="str">
            <v>AFRICA EMS MPANGA LIMITED</v>
          </cell>
          <cell r="C1144" t="str">
            <v>Hydro Electricity</v>
          </cell>
          <cell r="D1144" t="str">
            <v>Peak</v>
          </cell>
          <cell r="E1144" t="str">
            <v>Kwh</v>
          </cell>
          <cell r="F1144" t="str">
            <v>Shillings</v>
          </cell>
          <cell r="G1144"/>
        </row>
        <row r="1145">
          <cell r="A1145">
            <v>3510</v>
          </cell>
          <cell r="B1145" t="str">
            <v>AFRICA EMS MPANGA LIMITED</v>
          </cell>
          <cell r="C1145" t="str">
            <v>Hydro Electricity</v>
          </cell>
          <cell r="D1145" t="str">
            <v>Shoulder</v>
          </cell>
          <cell r="E1145" t="str">
            <v>Kwh</v>
          </cell>
          <cell r="F1145" t="str">
            <v>Shillings</v>
          </cell>
          <cell r="G1145"/>
        </row>
        <row r="1146">
          <cell r="A1146">
            <v>3510</v>
          </cell>
          <cell r="B1146" t="str">
            <v>AFRICA EMS MPANGA LIMITED</v>
          </cell>
          <cell r="C1146" t="str">
            <v>Hydro Electricity</v>
          </cell>
          <cell r="D1146" t="str">
            <v>Off-Peak</v>
          </cell>
          <cell r="E1146" t="str">
            <v>Kwh</v>
          </cell>
          <cell r="F1146" t="str">
            <v>Shillings</v>
          </cell>
          <cell r="G1146"/>
        </row>
        <row r="1147">
          <cell r="A1147">
            <v>3510</v>
          </cell>
          <cell r="B1147" t="str">
            <v>BUGOYE HYDRO LIMITED</v>
          </cell>
          <cell r="C1147" t="str">
            <v>Hydro Electricity</v>
          </cell>
          <cell r="D1147" t="str">
            <v>Peak</v>
          </cell>
          <cell r="E1147" t="str">
            <v>Kwh</v>
          </cell>
          <cell r="F1147" t="str">
            <v>Shillings</v>
          </cell>
          <cell r="G1147"/>
        </row>
        <row r="1148">
          <cell r="A1148">
            <v>3510</v>
          </cell>
          <cell r="B1148" t="str">
            <v>BUGOYE HYDRO LIMITED</v>
          </cell>
          <cell r="C1148" t="str">
            <v>Hydro Electricity</v>
          </cell>
          <cell r="D1148" t="str">
            <v xml:space="preserve">Shoulder </v>
          </cell>
          <cell r="E1148" t="str">
            <v>Kwh</v>
          </cell>
          <cell r="F1148" t="str">
            <v>Shillings</v>
          </cell>
          <cell r="G1148"/>
        </row>
        <row r="1149">
          <cell r="A1149">
            <v>3510</v>
          </cell>
          <cell r="B1149" t="str">
            <v>BUGOYE HYDRO LIMITED</v>
          </cell>
          <cell r="C1149" t="str">
            <v>Hydro Electricity</v>
          </cell>
          <cell r="D1149" t="str">
            <v>Off-Peak</v>
          </cell>
          <cell r="E1149" t="str">
            <v>Kwh</v>
          </cell>
          <cell r="F1149" t="str">
            <v>Shillings</v>
          </cell>
          <cell r="G1149"/>
        </row>
        <row r="1150">
          <cell r="A1150">
            <v>3510</v>
          </cell>
          <cell r="B1150" t="str">
            <v>WEST NILE RURAL ELECTRIFICATION CO LTD (WENRECO)</v>
          </cell>
          <cell r="C1150" t="str">
            <v>Domestic Single Phase</v>
          </cell>
          <cell r="D1150" t="str">
            <v>Domestic Single Phase - Hydro with Thermal Backup</v>
          </cell>
          <cell r="E1150" t="str">
            <v>Kwh</v>
          </cell>
          <cell r="F1150" t="str">
            <v>Shillings</v>
          </cell>
          <cell r="G1150"/>
        </row>
        <row r="1151">
          <cell r="A1151">
            <v>3510</v>
          </cell>
          <cell r="B1151" t="str">
            <v>WEST NILE RURAL ELECTRIFICATION CO LTD (WENRECO)</v>
          </cell>
          <cell r="C1151" t="str">
            <v>Domestic Three Phase</v>
          </cell>
          <cell r="D1151" t="str">
            <v>Domestic Three Phase - Hydro with Thermal Backup</v>
          </cell>
          <cell r="E1151" t="str">
            <v>Kwh</v>
          </cell>
          <cell r="F1151" t="str">
            <v>Shillings</v>
          </cell>
          <cell r="G1151"/>
        </row>
        <row r="1152">
          <cell r="A1152">
            <v>3510</v>
          </cell>
          <cell r="B1152" t="str">
            <v>WEST NILE RURAL ELECTRIFICATION CO LTD (WENRECO)</v>
          </cell>
          <cell r="C1152" t="str">
            <v>Commercial Single Phase</v>
          </cell>
          <cell r="D1152" t="str">
            <v>Commercial Single Phase - Hydro with Thermal Backup</v>
          </cell>
          <cell r="E1152" t="str">
            <v>Kwh</v>
          </cell>
          <cell r="F1152" t="str">
            <v>Shillings</v>
          </cell>
          <cell r="G1152"/>
        </row>
        <row r="1153">
          <cell r="A1153">
            <v>3510</v>
          </cell>
          <cell r="B1153" t="str">
            <v>WEST NILE RURAL ELECTRIFICATION CO LTD (WENRECO)</v>
          </cell>
          <cell r="C1153" t="str">
            <v>Commercial Three Phase</v>
          </cell>
          <cell r="D1153" t="str">
            <v>Commercial Three Phase - Hydro with Thermal Backup</v>
          </cell>
          <cell r="E1153" t="str">
            <v>Kwh</v>
          </cell>
          <cell r="F1153" t="str">
            <v>Shillings</v>
          </cell>
          <cell r="G1153"/>
        </row>
        <row r="1154">
          <cell r="A1154">
            <v>3510</v>
          </cell>
          <cell r="B1154" t="str">
            <v>WEST NILE RURAL ELECTRIFICATION CO LTD (WENRECO)</v>
          </cell>
          <cell r="C1154" t="str">
            <v>Industrial</v>
          </cell>
          <cell r="D1154" t="str">
            <v>Medium</v>
          </cell>
          <cell r="E1154" t="str">
            <v>Kwh</v>
          </cell>
          <cell r="F1154" t="str">
            <v>Shillings</v>
          </cell>
          <cell r="G1154"/>
        </row>
        <row r="1155">
          <cell r="A1155">
            <v>3510</v>
          </cell>
          <cell r="B1155" t="str">
            <v>WEST NILE RURAL ELECTRIFICATION CO LTD (WENRECO)</v>
          </cell>
          <cell r="C1155" t="str">
            <v>Industrial</v>
          </cell>
          <cell r="D1155" t="str">
            <v>Large</v>
          </cell>
          <cell r="E1155" t="str">
            <v>Kwh</v>
          </cell>
          <cell r="F1155" t="str">
            <v>Shillings</v>
          </cell>
          <cell r="G1155"/>
        </row>
        <row r="1156">
          <cell r="A1156">
            <v>3510</v>
          </cell>
          <cell r="B1156" t="str">
            <v>WEST NILE RURAL ELECTRIFICATION CO LTD (WENRECO)</v>
          </cell>
          <cell r="C1156" t="str">
            <v>Industrial</v>
          </cell>
          <cell r="D1156" t="str">
            <v>Lighting</v>
          </cell>
          <cell r="E1156" t="str">
            <v>Kwh</v>
          </cell>
          <cell r="F1156" t="str">
            <v>Shillings</v>
          </cell>
          <cell r="G1156"/>
        </row>
        <row r="1157">
          <cell r="G1157"/>
        </row>
        <row r="1158">
          <cell r="B1158" t="str">
            <v>WATER SUPPLY; SEWERAGE, WASTE MANAGEMENT AND REMEDIATION ACTIVITIES</v>
          </cell>
        </row>
        <row r="1159">
          <cell r="B1159" t="str">
            <v xml:space="preserve"> Water collection, treatment and supply</v>
          </cell>
          <cell r="G1159">
            <v>54.540485677508798</v>
          </cell>
        </row>
        <row r="1160">
          <cell r="A1160" t="str">
            <v>3600</v>
          </cell>
          <cell r="B1160" t="str">
            <v xml:space="preserve"> Water collection, treatment and supply</v>
          </cell>
          <cell r="G1160"/>
        </row>
        <row r="1161">
          <cell r="A1161">
            <v>3600</v>
          </cell>
          <cell r="B1161" t="str">
            <v>NATIONAL WATER &amp; SEWERAGE CORPORATION</v>
          </cell>
          <cell r="C1161" t="str">
            <v>PUBLIC STAND</v>
          </cell>
          <cell r="D1161" t="str">
            <v>PUBLIC STAND</v>
          </cell>
          <cell r="F1161" t="str">
            <v>Shillings</v>
          </cell>
          <cell r="G1161"/>
        </row>
        <row r="1162">
          <cell r="A1162">
            <v>3600</v>
          </cell>
          <cell r="B1162" t="str">
            <v>NATIONAL WATER &amp; SEWERAGE CORPORATION</v>
          </cell>
          <cell r="C1162" t="str">
            <v>RESIDENTIAL/DOMESTIC</v>
          </cell>
          <cell r="D1162" t="str">
            <v>RESIDENTIAL/DOMESTIC</v>
          </cell>
          <cell r="F1162" t="str">
            <v>Shillings</v>
          </cell>
          <cell r="G1162"/>
        </row>
        <row r="1163">
          <cell r="A1163">
            <v>3600</v>
          </cell>
          <cell r="B1163" t="str">
            <v>NATIONAL WATER &amp; SEWERAGE CORPORATION</v>
          </cell>
          <cell r="C1163" t="str">
            <v>INSTITUTIONAL/GOVERNMENT</v>
          </cell>
          <cell r="D1163" t="str">
            <v>INSTITUTIONAL/GOVERNMENT</v>
          </cell>
          <cell r="F1163" t="str">
            <v>Shillings</v>
          </cell>
          <cell r="G1163"/>
        </row>
        <row r="1164">
          <cell r="A1164">
            <v>3600</v>
          </cell>
          <cell r="B1164" t="str">
            <v>NATIONAL WATER &amp; SEWERAGE CORPORATION</v>
          </cell>
          <cell r="C1164" t="str">
            <v>COMMERCIAL(1-1500 Cubic meters)</v>
          </cell>
          <cell r="D1164" t="str">
            <v>COMMERCIAL(1-1500 Cubic meters)</v>
          </cell>
          <cell r="F1164" t="str">
            <v>Shillings</v>
          </cell>
          <cell r="G1164"/>
        </row>
        <row r="1165">
          <cell r="A1165">
            <v>3600</v>
          </cell>
          <cell r="B1165" t="str">
            <v>NATIONAL WATER &amp; SEWERAGE CORPORATION</v>
          </cell>
          <cell r="C1165" t="str">
            <v>COMMERCIAL(&gt;1500 Cubic meters)</v>
          </cell>
          <cell r="D1165" t="str">
            <v>COMMERCIAL(&gt;1500 Cubic meters)</v>
          </cell>
          <cell r="F1165" t="str">
            <v>Shillings</v>
          </cell>
          <cell r="G1165"/>
        </row>
        <row r="1166">
          <cell r="G1166"/>
        </row>
        <row r="1167">
          <cell r="B1167" t="str">
            <v>Sewerage</v>
          </cell>
        </row>
        <row r="1168">
          <cell r="B1168" t="str">
            <v>Sewerage</v>
          </cell>
          <cell r="G1168">
            <v>0.28435209827665497</v>
          </cell>
        </row>
        <row r="1169">
          <cell r="A1169" t="str">
            <v>3700</v>
          </cell>
          <cell r="B1169" t="str">
            <v>Sewerage</v>
          </cell>
          <cell r="G1169"/>
        </row>
        <row r="1170">
          <cell r="A1170">
            <v>3700</v>
          </cell>
          <cell r="B1170" t="str">
            <v>ASANTE WASTE MANAGEMENT LIMITED</v>
          </cell>
          <cell r="C1170" t="str">
            <v>CESSPOOL</v>
          </cell>
          <cell r="D1170" t="str">
            <v>MAIN HOLES</v>
          </cell>
          <cell r="E1170" t="str">
            <v>PER TRIP</v>
          </cell>
          <cell r="F1170" t="str">
            <v>Shillings</v>
          </cell>
          <cell r="G1170"/>
        </row>
        <row r="1171">
          <cell r="A1171">
            <v>3700</v>
          </cell>
          <cell r="B1171" t="str">
            <v>ASANTE WASTE MANAGEMENT LIMITED</v>
          </cell>
          <cell r="C1171" t="str">
            <v>CESSPOOL</v>
          </cell>
          <cell r="D1171" t="str">
            <v>RAIN WATER</v>
          </cell>
          <cell r="E1171" t="str">
            <v>PER TRIP</v>
          </cell>
          <cell r="F1171" t="str">
            <v>Shillings</v>
          </cell>
          <cell r="G1171"/>
        </row>
        <row r="1172">
          <cell r="G1172"/>
        </row>
        <row r="1173">
          <cell r="B1173" t="str">
            <v>Waste collection, treatment and disposal activities; materials recovery</v>
          </cell>
        </row>
        <row r="1174">
          <cell r="B1174" t="str">
            <v>Waste collection</v>
          </cell>
          <cell r="G1174"/>
        </row>
        <row r="1175">
          <cell r="A1175" t="str">
            <v>3811</v>
          </cell>
          <cell r="B1175" t="str">
            <v xml:space="preserve"> Collection of non-hazardous waste</v>
          </cell>
          <cell r="G1175">
            <v>1.8973070416886</v>
          </cell>
        </row>
        <row r="1176">
          <cell r="A1176" t="str">
            <v>3811</v>
          </cell>
          <cell r="B1176" t="str">
            <v xml:space="preserve"> Collection of non-hazardous waste</v>
          </cell>
          <cell r="G1176"/>
        </row>
        <row r="1177">
          <cell r="A1177">
            <v>3811</v>
          </cell>
          <cell r="B1177" t="str">
            <v>NABUGABO UPDEAL JOINT VENTURE</v>
          </cell>
          <cell r="C1177" t="str">
            <v>Domestic waste</v>
          </cell>
          <cell r="D1177" t="str">
            <v>Solid waste (per dump truck)</v>
          </cell>
          <cell r="E1177" t="str">
            <v>PER MONTH</v>
          </cell>
          <cell r="F1177" t="str">
            <v>Shillings</v>
          </cell>
          <cell r="G1177"/>
        </row>
        <row r="1178">
          <cell r="A1178">
            <v>3811</v>
          </cell>
          <cell r="B1178" t="str">
            <v>NABUGABO UPDEAL JOINT VENTURE</v>
          </cell>
          <cell r="C1178" t="str">
            <v>Domestic waste</v>
          </cell>
          <cell r="D1178" t="str">
            <v>Municipal waste</v>
          </cell>
          <cell r="E1178" t="str">
            <v>PER MONTH</v>
          </cell>
          <cell r="F1178" t="str">
            <v>Shillings</v>
          </cell>
          <cell r="G1178"/>
        </row>
        <row r="1179">
          <cell r="A1179">
            <v>3811</v>
          </cell>
          <cell r="B1179" t="str">
            <v>DEWASTE (U) LTD</v>
          </cell>
          <cell r="C1179" t="str">
            <v>Domestic waste</v>
          </cell>
          <cell r="D1179" t="str">
            <v>Homes</v>
          </cell>
          <cell r="E1179" t="str">
            <v>112 bags a month</v>
          </cell>
          <cell r="F1179" t="str">
            <v>Shillings</v>
          </cell>
          <cell r="G1179"/>
        </row>
        <row r="1180">
          <cell r="A1180">
            <v>3811</v>
          </cell>
          <cell r="B1180" t="str">
            <v>DEWASTE (U) LTD</v>
          </cell>
          <cell r="C1180" t="str">
            <v>Domestic waste</v>
          </cell>
          <cell r="D1180" t="str">
            <v>Commercial</v>
          </cell>
          <cell r="E1180" t="str">
            <v>per 240litre drum per month</v>
          </cell>
          <cell r="F1180" t="str">
            <v>Shillings</v>
          </cell>
          <cell r="G1180"/>
        </row>
        <row r="1181">
          <cell r="A1181">
            <v>3811</v>
          </cell>
          <cell r="B1181" t="str">
            <v>DEWASTE (U) LTD</v>
          </cell>
          <cell r="C1181" t="str">
            <v>Domestic waste</v>
          </cell>
          <cell r="D1181" t="str">
            <v>Institutions</v>
          </cell>
          <cell r="E1181" t="str">
            <v>per pick up</v>
          </cell>
          <cell r="F1181" t="str">
            <v>Shillings</v>
          </cell>
          <cell r="G1181"/>
        </row>
        <row r="1182">
          <cell r="A1182">
            <v>3811</v>
          </cell>
          <cell r="B1182" t="str">
            <v>HOMEKLIN (U) LIMITED</v>
          </cell>
          <cell r="C1182" t="str">
            <v>Garbage collection</v>
          </cell>
          <cell r="D1182" t="str">
            <v>Solid waste ( domestic)</v>
          </cell>
          <cell r="E1182" t="str">
            <v>100 kg sacks collected 5 times a month</v>
          </cell>
          <cell r="F1182" t="str">
            <v>Shillings</v>
          </cell>
          <cell r="G1182"/>
        </row>
        <row r="1183">
          <cell r="A1183">
            <v>3900</v>
          </cell>
          <cell r="B1183" t="str">
            <v>ASANTE WASTE MANAGEMENT LIMITED</v>
          </cell>
          <cell r="C1183" t="str">
            <v>WASTE MANAGEMENT</v>
          </cell>
          <cell r="D1183" t="str">
            <v>NON-HARZADOUS</v>
          </cell>
          <cell r="E1183" t="str">
            <v>1 KG</v>
          </cell>
          <cell r="F1183" t="str">
            <v>Shillings</v>
          </cell>
          <cell r="G1183"/>
        </row>
        <row r="1184">
          <cell r="G1184"/>
        </row>
        <row r="1185">
          <cell r="A1185" t="str">
            <v>3812</v>
          </cell>
          <cell r="B1185" t="str">
            <v>Collection of hazardous waste</v>
          </cell>
          <cell r="G1185">
            <v>0.27378807728987098</v>
          </cell>
        </row>
        <row r="1186">
          <cell r="A1186" t="str">
            <v>3812</v>
          </cell>
          <cell r="B1186" t="str">
            <v>Collection of hazardous waste</v>
          </cell>
          <cell r="G1186"/>
        </row>
        <row r="1187">
          <cell r="A1187">
            <v>3812</v>
          </cell>
          <cell r="B1187" t="str">
            <v>DEWASTE (U) LTD</v>
          </cell>
          <cell r="C1187" t="str">
            <v>Medical waste</v>
          </cell>
          <cell r="D1187" t="str">
            <v>clinics</v>
          </cell>
          <cell r="E1187" t="str">
            <v>4 bags per month</v>
          </cell>
          <cell r="F1187" t="str">
            <v>Shillings</v>
          </cell>
          <cell r="G1187"/>
        </row>
        <row r="1188">
          <cell r="A1188">
            <v>3812</v>
          </cell>
          <cell r="B1188" t="str">
            <v>DEWASTE (U) LTD</v>
          </cell>
          <cell r="C1188" t="str">
            <v>Medical waste</v>
          </cell>
          <cell r="D1188" t="str">
            <v>hospitals</v>
          </cell>
          <cell r="E1188" t="str">
            <v>per kg</v>
          </cell>
          <cell r="F1188" t="str">
            <v>Shillings</v>
          </cell>
          <cell r="G1188"/>
        </row>
        <row r="1189">
          <cell r="A1189">
            <v>3812</v>
          </cell>
          <cell r="B1189" t="str">
            <v>HOMEKLIN (U) LIMITED</v>
          </cell>
          <cell r="C1189" t="str">
            <v>Garbage collection</v>
          </cell>
          <cell r="D1189" t="str">
            <v>Harzadous ( industrial)</v>
          </cell>
          <cell r="E1189" t="str">
            <v>PER TONNE</v>
          </cell>
          <cell r="F1189" t="str">
            <v>Shillings</v>
          </cell>
          <cell r="G1189"/>
        </row>
        <row r="1190">
          <cell r="A1190">
            <v>3812</v>
          </cell>
          <cell r="B1190" t="str">
            <v>HOMEKLIN (U) LIMITED</v>
          </cell>
          <cell r="C1190" t="str">
            <v>Garbage collection</v>
          </cell>
          <cell r="D1190" t="str">
            <v>Medical hospitals</v>
          </cell>
          <cell r="E1190" t="str">
            <v>Per tonne</v>
          </cell>
          <cell r="F1190" t="str">
            <v>Shillings</v>
          </cell>
          <cell r="G1190"/>
        </row>
        <row r="1191">
          <cell r="A1191">
            <v>3900</v>
          </cell>
          <cell r="B1191" t="str">
            <v>ASANTE WASTE MANAGEMENT LIMITED</v>
          </cell>
          <cell r="C1191" t="str">
            <v>WASTE MANAGEMENT</v>
          </cell>
          <cell r="D1191" t="str">
            <v>HARZARDOUS</v>
          </cell>
          <cell r="E1191" t="str">
            <v>1 KG</v>
          </cell>
          <cell r="F1191" t="str">
            <v>Shillings</v>
          </cell>
          <cell r="G1191"/>
        </row>
        <row r="1192">
          <cell r="G1192"/>
        </row>
        <row r="1193">
          <cell r="B1193" t="str">
            <v>Materials recovery</v>
          </cell>
          <cell r="G1193">
            <v>4.4928099840575104</v>
          </cell>
        </row>
        <row r="1194">
          <cell r="A1194" t="str">
            <v>3830</v>
          </cell>
          <cell r="B1194" t="str">
            <v>Materials recovery</v>
          </cell>
          <cell r="G1194"/>
        </row>
        <row r="1195">
          <cell r="A1195">
            <v>3830</v>
          </cell>
          <cell r="B1195" t="str">
            <v>ASANTE WASTE MANAGEMENT LIMITED</v>
          </cell>
          <cell r="C1195" t="str">
            <v>MATERIAL RECOVERY</v>
          </cell>
          <cell r="D1195" t="str">
            <v>PLASTICS</v>
          </cell>
          <cell r="E1195" t="str">
            <v>PER MONTH PICK UP</v>
          </cell>
          <cell r="F1195" t="str">
            <v>Shillings</v>
          </cell>
          <cell r="G1195"/>
        </row>
        <row r="1196">
          <cell r="A1196">
            <v>3830</v>
          </cell>
          <cell r="B1196" t="str">
            <v>ASANTE WASTE MANAGEMENT LIMITED</v>
          </cell>
          <cell r="C1196" t="str">
            <v>MATERIAL RECOVERY</v>
          </cell>
          <cell r="D1196" t="str">
            <v>GLASS</v>
          </cell>
          <cell r="E1196" t="str">
            <v>PER MONTH PICK UP</v>
          </cell>
          <cell r="F1196" t="str">
            <v>Shillings</v>
          </cell>
          <cell r="G1196"/>
        </row>
        <row r="1197">
          <cell r="A1197">
            <v>3830</v>
          </cell>
          <cell r="B1197" t="str">
            <v>ASANTE WASTE MANAGEMENT LIMITED</v>
          </cell>
          <cell r="C1197" t="str">
            <v>MATERIAL RECOVERY</v>
          </cell>
          <cell r="D1197" t="str">
            <v>PAPER</v>
          </cell>
          <cell r="E1197" t="str">
            <v>PER MONTH PICK UP</v>
          </cell>
          <cell r="F1197" t="str">
            <v>Shillings</v>
          </cell>
          <cell r="G1197"/>
        </row>
        <row r="1198">
          <cell r="A1198">
            <v>3830</v>
          </cell>
          <cell r="B1198" t="str">
            <v>ASANTE WASTE MANAGEMENT LIMITED</v>
          </cell>
          <cell r="C1198" t="str">
            <v>MATERIAL RECOVERY</v>
          </cell>
          <cell r="D1198" t="str">
            <v>OTHERS</v>
          </cell>
          <cell r="E1198" t="str">
            <v>PER MONTH PICK UP</v>
          </cell>
          <cell r="F1198" t="str">
            <v>Shillings</v>
          </cell>
          <cell r="G1198"/>
        </row>
        <row r="1199">
          <cell r="A1199">
            <v>3830</v>
          </cell>
          <cell r="B1199" t="str">
            <v>ASANTE WASTE MANAGEMENT LIMITED</v>
          </cell>
          <cell r="C1199" t="str">
            <v>E-WASTE</v>
          </cell>
          <cell r="D1199" t="str">
            <v>OLD OFFICE EQUIPMENTS</v>
          </cell>
          <cell r="E1199" t="str">
            <v>PER KG</v>
          </cell>
          <cell r="F1199" t="str">
            <v>Shillings</v>
          </cell>
          <cell r="G1199"/>
        </row>
        <row r="1200">
          <cell r="A1200"/>
          <cell r="B1200"/>
          <cell r="F1200"/>
          <cell r="G1200"/>
        </row>
        <row r="1201">
          <cell r="G1201">
            <v>1000.0000000000002</v>
          </cell>
        </row>
        <row r="1204">
          <cell r="G120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P32"/>
  <sheetViews>
    <sheetView workbookViewId="0">
      <pane xSplit="3" ySplit="2" topLeftCell="DI3" activePane="bottomRight" state="frozen"/>
      <selection pane="topRight" activeCell="D1" sqref="D1"/>
      <selection pane="bottomLeft" activeCell="A3" sqref="A3"/>
      <selection pane="bottomRight" activeCell="DO9" sqref="DO9:DP9"/>
    </sheetView>
  </sheetViews>
  <sheetFormatPr defaultRowHeight="14.5" x14ac:dyDescent="0.35"/>
  <cols>
    <col min="2" max="2" width="72.54296875" bestFit="1" customWidth="1"/>
  </cols>
  <sheetData>
    <row r="1" spans="1:120" s="1" customFormat="1" ht="15.5" x14ac:dyDescent="0.35">
      <c r="A1" s="1" t="s">
        <v>0</v>
      </c>
    </row>
    <row r="2" spans="1:120" s="6" customFormat="1" ht="15.5" x14ac:dyDescent="0.3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  <c r="DO2" s="5">
        <v>46054</v>
      </c>
      <c r="DP2" s="5">
        <v>46082</v>
      </c>
    </row>
    <row r="3" spans="1:120" s="7" customFormat="1" x14ac:dyDescent="0.35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  <c r="DO3" s="7">
        <v>125.40257881099457</v>
      </c>
      <c r="DP3" s="7">
        <v>126.03575364273372</v>
      </c>
    </row>
    <row r="4" spans="1:120" s="8" customFormat="1" x14ac:dyDescent="0.35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  <c r="DO4" s="8">
        <v>126.76393679124327</v>
      </c>
      <c r="DP4" s="8">
        <v>127.16306937799652</v>
      </c>
    </row>
    <row r="5" spans="1:120" s="8" customFormat="1" x14ac:dyDescent="0.35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  <c r="DO5" s="8">
        <v>114.77550928967</v>
      </c>
      <c r="DP5" s="8">
        <v>117.23567103042006</v>
      </c>
    </row>
    <row r="8" spans="1:120" x14ac:dyDescent="0.35">
      <c r="A8" s="9" t="s">
        <v>9</v>
      </c>
    </row>
    <row r="9" spans="1:120" s="6" customFormat="1" ht="15.5" x14ac:dyDescent="0.3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  <c r="DO9" s="5">
        <v>46054</v>
      </c>
      <c r="DP9" s="5">
        <v>46082</v>
      </c>
    </row>
    <row r="10" spans="1:120" s="7" customFormat="1" x14ac:dyDescent="0.35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  <c r="DO10" s="7">
        <v>126.76393679124327</v>
      </c>
      <c r="DP10" s="7">
        <v>127.16306937799652</v>
      </c>
    </row>
    <row r="11" spans="1:120" s="8" customFormat="1" x14ac:dyDescent="0.35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  <c r="DO11" s="8">
        <v>138.87936208235612</v>
      </c>
      <c r="DP11" s="8">
        <v>138.53752848574234</v>
      </c>
    </row>
    <row r="12" spans="1:120" s="8" customFormat="1" x14ac:dyDescent="0.35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  <c r="DO12" s="8">
        <v>113.19409959565864</v>
      </c>
      <c r="DP12" s="8">
        <v>113.19409959565864</v>
      </c>
    </row>
    <row r="13" spans="1:120" s="8" customFormat="1" x14ac:dyDescent="0.35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  <c r="DO13" s="8">
        <v>90.327990294416821</v>
      </c>
      <c r="DP13" s="8">
        <v>91.949522486260165</v>
      </c>
    </row>
    <row r="14" spans="1:120" s="8" customFormat="1" x14ac:dyDescent="0.35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  <c r="DO14" s="8">
        <v>123.34016553380923</v>
      </c>
      <c r="DP14" s="8">
        <v>123.34016553380923</v>
      </c>
    </row>
    <row r="15" spans="1:120" s="8" customFormat="1" x14ac:dyDescent="0.35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  <c r="DO15" s="8">
        <v>122.71061731450217</v>
      </c>
      <c r="DP15" s="8">
        <v>122.71061731450217</v>
      </c>
    </row>
    <row r="16" spans="1:120" s="8" customFormat="1" x14ac:dyDescent="0.35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  <c r="DO16" s="8">
        <v>109.93600142400169</v>
      </c>
      <c r="DP16" s="8">
        <v>109.93600142400169</v>
      </c>
    </row>
    <row r="17" spans="1:120" s="8" customFormat="1" x14ac:dyDescent="0.35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  <c r="DO17" s="8">
        <v>106.30087111402987</v>
      </c>
      <c r="DP17" s="8">
        <v>106.61656312627349</v>
      </c>
    </row>
    <row r="18" spans="1:120" s="8" customFormat="1" x14ac:dyDescent="0.35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  <c r="DO18" s="8">
        <v>122.05875646477591</v>
      </c>
      <c r="DP18" s="8">
        <v>122.44673891390376</v>
      </c>
    </row>
    <row r="19" spans="1:120" s="8" customFormat="1" x14ac:dyDescent="0.35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  <c r="DO19" s="8">
        <v>109.64529839475726</v>
      </c>
      <c r="DP19" s="8">
        <v>111.05502277897804</v>
      </c>
    </row>
    <row r="20" spans="1:120" s="8" customFormat="1" x14ac:dyDescent="0.35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  <c r="DO20" s="8">
        <v>136.90284352032035</v>
      </c>
      <c r="DP20" s="8">
        <v>137.31251234471571</v>
      </c>
    </row>
    <row r="21" spans="1:120" s="8" customFormat="1" x14ac:dyDescent="0.35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  <c r="DO21" s="8">
        <v>112.1018386898149</v>
      </c>
      <c r="DP21" s="8">
        <v>113.60909644079736</v>
      </c>
    </row>
    <row r="22" spans="1:120" s="8" customFormat="1" x14ac:dyDescent="0.35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  <c r="DO22" s="8">
        <v>106.97929747507911</v>
      </c>
      <c r="DP22" s="8">
        <v>107.22607355066182</v>
      </c>
    </row>
    <row r="23" spans="1:120" s="8" customFormat="1" x14ac:dyDescent="0.35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  <c r="DO23" s="8">
        <v>103.80468201221915</v>
      </c>
      <c r="DP23" s="8">
        <v>105.75486674449003</v>
      </c>
    </row>
    <row r="24" spans="1:120" s="8" customFormat="1" x14ac:dyDescent="0.35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  <c r="DO24" s="8">
        <v>121.63625968009777</v>
      </c>
      <c r="DP24" s="8">
        <v>124.27796646962487</v>
      </c>
    </row>
    <row r="25" spans="1:120" s="8" customFormat="1" x14ac:dyDescent="0.35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  <c r="DO25" s="8">
        <v>122.20716968887305</v>
      </c>
      <c r="DP25" s="8">
        <v>124.82329736052779</v>
      </c>
    </row>
    <row r="26" spans="1:120" s="8" customFormat="1" x14ac:dyDescent="0.35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  <c r="DO26" s="8">
        <v>117.11616672486592</v>
      </c>
      <c r="DP26" s="8">
        <v>117.24005007979586</v>
      </c>
    </row>
    <row r="27" spans="1:120" s="8" customFormat="1" x14ac:dyDescent="0.35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  <c r="DO27" s="8">
        <v>132.92867277605453</v>
      </c>
      <c r="DP27" s="8">
        <v>132.92867277605453</v>
      </c>
    </row>
    <row r="28" spans="1:120" s="7" customFormat="1" x14ac:dyDescent="0.35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  <c r="DO28" s="7">
        <v>114.77550928967</v>
      </c>
      <c r="DP28" s="7">
        <v>117.23567103042006</v>
      </c>
    </row>
    <row r="29" spans="1:120" s="8" customFormat="1" x14ac:dyDescent="0.35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  <c r="DO29" s="8">
        <v>117.96151684728694</v>
      </c>
      <c r="DP29" s="8">
        <v>123.32700210956409</v>
      </c>
    </row>
    <row r="30" spans="1:120" s="8" customFormat="1" x14ac:dyDescent="0.35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  <c r="DO30" s="8">
        <v>112.90300561292283</v>
      </c>
      <c r="DP30" s="8">
        <v>112.90300561292283</v>
      </c>
    </row>
    <row r="31" spans="1:120" s="8" customFormat="1" x14ac:dyDescent="0.35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  <c r="DO31" s="8">
        <v>99.397305245416177</v>
      </c>
      <c r="DP31" s="8">
        <v>99.397305245416177</v>
      </c>
    </row>
    <row r="32" spans="1:120" s="8" customFormat="1" x14ac:dyDescent="0.35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  <c r="DO32" s="8">
        <v>105.86382498025658</v>
      </c>
      <c r="DP32" s="8">
        <v>105.86382498025658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D27"/>
  <sheetViews>
    <sheetView workbookViewId="0">
      <pane xSplit="3" ySplit="1" topLeftCell="CX6" activePane="bottomRight" state="frozen"/>
      <selection pane="topRight" activeCell="D1" sqref="D1"/>
      <selection pane="bottomLeft" activeCell="A2" sqref="A2"/>
      <selection pane="bottomRight" activeCell="DC16" sqref="DC16"/>
    </sheetView>
  </sheetViews>
  <sheetFormatPr defaultRowHeight="14.5" x14ac:dyDescent="0.35"/>
  <cols>
    <col min="1" max="1" width="24" style="9" bestFit="1" customWidth="1"/>
    <col min="2" max="2" width="66.453125" bestFit="1" customWidth="1"/>
  </cols>
  <sheetData>
    <row r="1" spans="1:108" x14ac:dyDescent="0.3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</row>
    <row r="2" spans="1:108" x14ac:dyDescent="0.35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  <c r="DC2" s="15">
        <v>0.29254712887196721</v>
      </c>
      <c r="DD2" s="15">
        <v>0.53189329383296347</v>
      </c>
    </row>
    <row r="3" spans="1:108" x14ac:dyDescent="0.35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  <c r="DC3" s="13">
        <v>0.40847517090929486</v>
      </c>
      <c r="DD3" s="13">
        <v>0.43059071509150559</v>
      </c>
    </row>
    <row r="4" spans="1:108" x14ac:dyDescent="0.35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  <c r="DC4" s="13">
        <v>-0.69594402285929613</v>
      </c>
      <c r="DD4" s="13">
        <v>1.3979092474870169</v>
      </c>
    </row>
    <row r="5" spans="1:108" x14ac:dyDescent="0.35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  <c r="DC5" s="15">
        <v>0.40847517090929486</v>
      </c>
      <c r="DD5" s="15">
        <v>0.43059071509150559</v>
      </c>
    </row>
    <row r="6" spans="1:108" x14ac:dyDescent="0.35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  <c r="DC6" s="13">
        <v>1.9609561922723895</v>
      </c>
      <c r="DD6" s="13">
        <v>0.91577365156971791</v>
      </c>
    </row>
    <row r="7" spans="1:108" x14ac:dyDescent="0.35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  <c r="DC7" s="13">
        <v>0.29398080889209144</v>
      </c>
      <c r="DD7" s="13">
        <v>0.29398080889211364</v>
      </c>
    </row>
    <row r="8" spans="1:108" x14ac:dyDescent="0.35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  <c r="DC8" s="13">
        <v>-13.251205100195962</v>
      </c>
      <c r="DD8" s="13">
        <v>-11.614965792123133</v>
      </c>
    </row>
    <row r="9" spans="1:108" x14ac:dyDescent="0.35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  <c r="DC9" s="13">
        <v>-0.50264221376618012</v>
      </c>
      <c r="DD9" s="13">
        <v>-0.50264221376618012</v>
      </c>
    </row>
    <row r="10" spans="1:108" x14ac:dyDescent="0.35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  <c r="DC10" s="13">
        <v>-0.15144675802012397</v>
      </c>
      <c r="DD10" s="13">
        <v>-0.15144675802012397</v>
      </c>
    </row>
    <row r="11" spans="1:108" x14ac:dyDescent="0.35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</row>
    <row r="12" spans="1:108" x14ac:dyDescent="0.35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  <c r="DC12" s="13">
        <v>8.0186438490052137</v>
      </c>
      <c r="DD12" s="13">
        <v>5.4711552900930549</v>
      </c>
    </row>
    <row r="13" spans="1:108" x14ac:dyDescent="0.35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  <c r="DC13" s="13">
        <v>-0.20495253080148323</v>
      </c>
      <c r="DD13" s="13">
        <v>0.12189527364396824</v>
      </c>
    </row>
    <row r="14" spans="1:108" x14ac:dyDescent="0.35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  <c r="DC14" s="13">
        <v>0.71016239092644984</v>
      </c>
      <c r="DD14" s="13">
        <v>2.0050065268799377</v>
      </c>
    </row>
    <row r="15" spans="1:108" x14ac:dyDescent="0.35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  <c r="DC15" s="13">
        <v>-0.63830178055911402</v>
      </c>
      <c r="DD15" s="13">
        <v>-0.37763743853027609</v>
      </c>
    </row>
    <row r="16" spans="1:108" x14ac:dyDescent="0.35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  <c r="DC16" s="13">
        <v>-1.2203309872302559</v>
      </c>
      <c r="DD16" s="13">
        <v>0.74978279371007428</v>
      </c>
    </row>
    <row r="17" spans="1:108" x14ac:dyDescent="0.35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  <c r="DC17" s="13">
        <v>-0.73269738606804857</v>
      </c>
      <c r="DD17" s="13">
        <v>-0.56034381646394849</v>
      </c>
    </row>
    <row r="18" spans="1:108" x14ac:dyDescent="0.35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  <c r="DC18" s="13">
        <v>-0.82646170873001967</v>
      </c>
      <c r="DD18" s="13">
        <v>0.99949594079489223</v>
      </c>
    </row>
    <row r="19" spans="1:108" x14ac:dyDescent="0.35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  <c r="DC19" s="13">
        <v>-3.3918864709423291</v>
      </c>
      <c r="DD19" s="13">
        <v>-1.1840751849236053</v>
      </c>
    </row>
    <row r="20" spans="1:108" x14ac:dyDescent="0.35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  <c r="DC20" s="13">
        <v>-1.4477250974274991</v>
      </c>
      <c r="DD20" s="13">
        <v>0.83498776825228216</v>
      </c>
    </row>
    <row r="21" spans="1:108" x14ac:dyDescent="0.35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  <c r="DC21" s="13">
        <v>5.5896704655854723</v>
      </c>
      <c r="DD21" s="13">
        <v>4.1848823830517023</v>
      </c>
    </row>
    <row r="22" spans="1:108" x14ac:dyDescent="0.35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  <c r="DC22" s="13">
        <v>0.22662702020412873</v>
      </c>
      <c r="DD22" s="13">
        <v>0.28883382661977208</v>
      </c>
    </row>
    <row r="23" spans="1:108" x14ac:dyDescent="0.35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  <c r="DC23" s="15">
        <v>-0.69594402285929613</v>
      </c>
      <c r="DD23" s="15">
        <v>1.3979092474870169</v>
      </c>
    </row>
    <row r="24" spans="1:108" x14ac:dyDescent="0.35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  <c r="DC24" s="13">
        <v>-2.5026458811315933</v>
      </c>
      <c r="DD24" s="13">
        <v>1.8594335288138364</v>
      </c>
    </row>
    <row r="25" spans="1:108" x14ac:dyDescent="0.3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  <c r="DC25" s="13">
        <v>0.44492380780669638</v>
      </c>
      <c r="DD25" s="13">
        <v>0.44492380780669638</v>
      </c>
    </row>
    <row r="26" spans="1:108" x14ac:dyDescent="0.3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</row>
    <row r="27" spans="1:108" x14ac:dyDescent="0.35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  <c r="DC27" s="13">
        <v>5.8579753078545238</v>
      </c>
      <c r="DD27" s="13">
        <v>5.8579753078545238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D27"/>
  <sheetViews>
    <sheetView workbookViewId="0">
      <pane xSplit="3" ySplit="1" topLeftCell="CV6" activePane="bottomRight" state="frozen"/>
      <selection pane="topRight" activeCell="D1" sqref="D1"/>
      <selection pane="bottomLeft" activeCell="A2" sqref="A2"/>
      <selection pane="bottomRight" activeCell="DD5" sqref="DD5:DD27"/>
    </sheetView>
  </sheetViews>
  <sheetFormatPr defaultRowHeight="14.5" x14ac:dyDescent="0.35"/>
  <cols>
    <col min="2" max="2" width="65.26953125" bestFit="1" customWidth="1"/>
  </cols>
  <sheetData>
    <row r="1" spans="1:108" x14ac:dyDescent="0.3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</row>
    <row r="2" spans="1:108" x14ac:dyDescent="0.35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  <c r="DC2" s="15">
        <v>0.20889305610978237</v>
      </c>
      <c r="DD2" s="15">
        <v>0.50491372485526043</v>
      </c>
    </row>
    <row r="3" spans="1:108" x14ac:dyDescent="0.35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  <c r="DC3" s="13">
        <v>0.22381453679896079</v>
      </c>
      <c r="DD3" s="13">
        <v>0.3148628836058931</v>
      </c>
    </row>
    <row r="4" spans="1:108" x14ac:dyDescent="0.35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  <c r="DC4" s="13">
        <v>8.0430125224206783E-2</v>
      </c>
      <c r="DD4" s="13">
        <v>2.1434553032922077</v>
      </c>
    </row>
    <row r="5" spans="1:108" x14ac:dyDescent="0.35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  <c r="DC5" s="15">
        <v>0.22381453679896079</v>
      </c>
      <c r="DD5" s="15">
        <v>0.3148628836058931</v>
      </c>
    </row>
    <row r="6" spans="1:108" x14ac:dyDescent="0.35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  <c r="DC6" s="13">
        <v>0.42980703275430354</v>
      </c>
      <c r="DD6" s="13">
        <v>-0.2461370728438883</v>
      </c>
    </row>
    <row r="7" spans="1:108" x14ac:dyDescent="0.35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  <c r="DC7" s="13">
        <v>0.26390084843177508</v>
      </c>
      <c r="DD7" s="13">
        <v>0</v>
      </c>
    </row>
    <row r="8" spans="1:108" x14ac:dyDescent="0.35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  <c r="DC8" s="13">
        <v>-3.5148979897540733</v>
      </c>
      <c r="DD8" s="13">
        <v>1.7951602671088862</v>
      </c>
    </row>
    <row r="9" spans="1:108" x14ac:dyDescent="0.35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  <c r="DC9" s="13">
        <v>0</v>
      </c>
      <c r="DD9" s="13">
        <v>0</v>
      </c>
    </row>
    <row r="10" spans="1:108" x14ac:dyDescent="0.35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-0.15144675802013507</v>
      </c>
      <c r="DD10" s="13">
        <v>0</v>
      </c>
    </row>
    <row r="11" spans="1:108" x14ac:dyDescent="0.35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</row>
    <row r="12" spans="1:108" x14ac:dyDescent="0.35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  <c r="DC12" s="13">
        <v>1.1379622159801706E-2</v>
      </c>
      <c r="DD12" s="13">
        <v>0.29697970386806105</v>
      </c>
    </row>
    <row r="13" spans="1:108" x14ac:dyDescent="0.35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  <c r="DC13" s="13">
        <v>1.2169362856884192E-2</v>
      </c>
      <c r="DD13" s="13">
        <v>0.31786531369406568</v>
      </c>
    </row>
    <row r="14" spans="1:108" x14ac:dyDescent="0.35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  <c r="DC14" s="13">
        <v>0.21202485504934199</v>
      </c>
      <c r="DD14" s="13">
        <v>1.2857134823468064</v>
      </c>
    </row>
    <row r="15" spans="1:108" x14ac:dyDescent="0.35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  <c r="DC15" s="13">
        <v>4.7543329568977555E-2</v>
      </c>
      <c r="DD15" s="13">
        <v>0.29924055181116405</v>
      </c>
    </row>
    <row r="16" spans="1:108" x14ac:dyDescent="0.35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  <c r="DC16" s="13">
        <v>3.7344232055391835E-2</v>
      </c>
      <c r="DD16" s="13">
        <v>1.3445432908134825</v>
      </c>
    </row>
    <row r="17" spans="1:108" x14ac:dyDescent="0.35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  <c r="DC17" s="13">
        <v>0</v>
      </c>
      <c r="DD17" s="13">
        <v>0.23067647797949675</v>
      </c>
    </row>
    <row r="18" spans="1:108" x14ac:dyDescent="0.35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  <c r="DC18" s="13">
        <v>0.67699983936568842</v>
      </c>
      <c r="DD18" s="13">
        <v>1.8787059451146115</v>
      </c>
    </row>
    <row r="19" spans="1:108" x14ac:dyDescent="0.35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  <c r="DC19" s="13">
        <v>-0.68113464546459834</v>
      </c>
      <c r="DD19" s="13">
        <v>2.1718086337698672</v>
      </c>
    </row>
    <row r="20" spans="1:108" x14ac:dyDescent="0.35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  <c r="DC20" s="13">
        <v>8.1311430763020276E-2</v>
      </c>
      <c r="DD20" s="13">
        <v>2.1407317412841964</v>
      </c>
    </row>
    <row r="21" spans="1:108" x14ac:dyDescent="0.35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  <c r="DC21" s="13">
        <v>3.6726680268841294</v>
      </c>
      <c r="DD21" s="13">
        <v>0.1057781845105854</v>
      </c>
    </row>
    <row r="22" spans="1:108" x14ac:dyDescent="0.35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  <c r="DC22" s="13">
        <v>0.21958437997362523</v>
      </c>
      <c r="DD22" s="13">
        <v>0</v>
      </c>
    </row>
    <row r="23" spans="1:108" x14ac:dyDescent="0.35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  <c r="DC23" s="15">
        <v>8.0430125224206783E-2</v>
      </c>
      <c r="DD23" s="15">
        <v>2.1434553032922077</v>
      </c>
    </row>
    <row r="24" spans="1:108" x14ac:dyDescent="0.35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  <c r="DC24" s="13">
        <v>0.17083037006000446</v>
      </c>
      <c r="DD24" s="13">
        <v>4.54850480536233</v>
      </c>
    </row>
    <row r="25" spans="1:108" x14ac:dyDescent="0.3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  <c r="DC25" s="13">
        <v>0</v>
      </c>
      <c r="DD25" s="13">
        <v>0</v>
      </c>
    </row>
    <row r="26" spans="1:108" x14ac:dyDescent="0.3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</row>
    <row r="27" spans="1:108" x14ac:dyDescent="0.35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D392-0466-46EF-B521-6D8B9595BD7C}">
  <dimension ref="A1:DR77"/>
  <sheetViews>
    <sheetView topLeftCell="A57" workbookViewId="0">
      <pane xSplit="5" topLeftCell="DK1" activePane="topRight" state="frozen"/>
      <selection pane="topRight" activeCell="DR2" sqref="DR2:DR75"/>
    </sheetView>
  </sheetViews>
  <sheetFormatPr defaultColWidth="8.81640625" defaultRowHeight="15.5" x14ac:dyDescent="0.35"/>
  <cols>
    <col min="1" max="1" width="8.7265625" style="46" customWidth="1"/>
    <col min="2" max="2" width="7.1796875" style="46" customWidth="1"/>
    <col min="3" max="3" width="15.453125" style="68" customWidth="1"/>
    <col min="4" max="4" width="57.26953125" style="46" customWidth="1"/>
    <col min="5" max="5" width="15.54296875" style="110" customWidth="1"/>
    <col min="6" max="6" width="13.1796875" style="61" customWidth="1"/>
    <col min="7" max="7" width="8.453125" style="61" customWidth="1"/>
    <col min="8" max="17" width="8.7265625" style="61" customWidth="1"/>
    <col min="18" max="75" width="8.7265625" style="46" customWidth="1"/>
    <col min="76" max="76" width="9.81640625" style="46" customWidth="1"/>
    <col min="77" max="91" width="8.7265625" style="46" customWidth="1"/>
    <col min="92" max="92" width="13.1796875" style="46" customWidth="1"/>
    <col min="93" max="100" width="8.7265625" style="46" customWidth="1"/>
    <col min="101" max="101" width="8.81640625" style="46"/>
    <col min="102" max="122" width="8.7265625" style="46" customWidth="1"/>
    <col min="123" max="130" width="8.81640625" style="46"/>
    <col min="131" max="132" width="13.453125" style="46" customWidth="1"/>
    <col min="133" max="133" width="64.54296875" style="46" customWidth="1"/>
    <col min="134" max="134" width="15.26953125" style="46" customWidth="1"/>
    <col min="135" max="135" width="14.81640625" style="46" customWidth="1"/>
    <col min="136" max="136" width="17.453125" style="46" customWidth="1"/>
    <col min="137" max="140" width="13.26953125" style="46" customWidth="1"/>
    <col min="141" max="16384" width="8.81640625" style="46"/>
  </cols>
  <sheetData>
    <row r="1" spans="1:122" s="6" customFormat="1" x14ac:dyDescent="0.35">
      <c r="A1" s="112" t="s">
        <v>59</v>
      </c>
      <c r="B1" s="112"/>
      <c r="C1" s="112"/>
      <c r="D1" s="3" t="s">
        <v>11</v>
      </c>
      <c r="E1" s="99" t="s">
        <v>2</v>
      </c>
      <c r="F1" s="5">
        <v>42552</v>
      </c>
      <c r="G1" s="5">
        <v>42583</v>
      </c>
      <c r="H1" s="5">
        <v>42614</v>
      </c>
      <c r="I1" s="5">
        <v>42644</v>
      </c>
      <c r="J1" s="5">
        <v>42675</v>
      </c>
      <c r="K1" s="5">
        <v>42705</v>
      </c>
      <c r="L1" s="5">
        <v>42736</v>
      </c>
      <c r="M1" s="5">
        <v>42767</v>
      </c>
      <c r="N1" s="5">
        <v>42795</v>
      </c>
      <c r="O1" s="5">
        <v>42826</v>
      </c>
      <c r="P1" s="5">
        <v>42856</v>
      </c>
      <c r="Q1" s="5">
        <v>42887</v>
      </c>
      <c r="R1" s="5">
        <v>42917</v>
      </c>
      <c r="S1" s="5">
        <v>42948</v>
      </c>
      <c r="T1" s="19">
        <v>42979</v>
      </c>
      <c r="U1" s="20">
        <v>43009</v>
      </c>
      <c r="V1" s="20">
        <v>43040</v>
      </c>
      <c r="W1" s="20">
        <v>43070</v>
      </c>
      <c r="X1" s="20">
        <v>43101</v>
      </c>
      <c r="Y1" s="20">
        <v>43132</v>
      </c>
      <c r="Z1" s="20">
        <v>43160</v>
      </c>
      <c r="AA1" s="20">
        <v>43191</v>
      </c>
      <c r="AB1" s="20">
        <v>43221</v>
      </c>
      <c r="AC1" s="20">
        <v>43252</v>
      </c>
      <c r="AD1" s="20">
        <v>43282</v>
      </c>
      <c r="AE1" s="20">
        <v>43313</v>
      </c>
      <c r="AF1" s="20">
        <v>43344</v>
      </c>
      <c r="AG1" s="20">
        <v>43374</v>
      </c>
      <c r="AH1" s="20">
        <v>43405</v>
      </c>
      <c r="AI1" s="20">
        <v>43435</v>
      </c>
      <c r="AJ1" s="20">
        <v>43466</v>
      </c>
      <c r="AK1" s="20">
        <v>43497</v>
      </c>
      <c r="AL1" s="20">
        <v>43525</v>
      </c>
      <c r="AM1" s="20">
        <v>43556</v>
      </c>
      <c r="AN1" s="20">
        <v>43586</v>
      </c>
      <c r="AO1" s="20">
        <v>43617</v>
      </c>
      <c r="AP1" s="20">
        <v>43647</v>
      </c>
      <c r="AQ1" s="20">
        <v>43678</v>
      </c>
      <c r="AR1" s="20">
        <v>43709</v>
      </c>
      <c r="AS1" s="20">
        <v>43739</v>
      </c>
      <c r="AT1" s="20">
        <v>43770</v>
      </c>
      <c r="AU1" s="20">
        <v>43800</v>
      </c>
      <c r="AV1" s="20">
        <v>43831</v>
      </c>
      <c r="AW1" s="20">
        <v>43862</v>
      </c>
      <c r="AX1" s="20">
        <v>43891</v>
      </c>
      <c r="AY1" s="20">
        <v>43922</v>
      </c>
      <c r="AZ1" s="20">
        <v>43952</v>
      </c>
      <c r="BA1" s="20">
        <v>43983</v>
      </c>
      <c r="BB1" s="20">
        <v>44013</v>
      </c>
      <c r="BC1" s="20">
        <v>44044</v>
      </c>
      <c r="BD1" s="20">
        <v>44075</v>
      </c>
      <c r="BE1" s="20">
        <v>44105</v>
      </c>
      <c r="BF1" s="20">
        <v>44136</v>
      </c>
      <c r="BG1" s="20">
        <v>44166</v>
      </c>
      <c r="BH1" s="20">
        <v>44197</v>
      </c>
      <c r="BI1" s="20">
        <v>44228</v>
      </c>
      <c r="BJ1" s="20">
        <v>44256</v>
      </c>
      <c r="BK1" s="20">
        <v>44287</v>
      </c>
      <c r="BL1" s="20">
        <v>44317</v>
      </c>
      <c r="BM1" s="20">
        <v>44348</v>
      </c>
      <c r="BN1" s="20">
        <v>44378</v>
      </c>
      <c r="BO1" s="20">
        <v>44409</v>
      </c>
      <c r="BP1" s="20">
        <v>44440</v>
      </c>
      <c r="BQ1" s="20">
        <v>44470</v>
      </c>
      <c r="BR1" s="20">
        <v>44501</v>
      </c>
      <c r="BS1" s="20">
        <v>44531</v>
      </c>
      <c r="BT1" s="20">
        <v>44562</v>
      </c>
      <c r="BU1" s="20">
        <v>44593</v>
      </c>
      <c r="BV1" s="20">
        <v>44621</v>
      </c>
      <c r="BW1" s="20">
        <v>44652</v>
      </c>
      <c r="BX1" s="20">
        <v>44682</v>
      </c>
      <c r="BY1" s="20">
        <v>44713</v>
      </c>
      <c r="BZ1" s="20">
        <v>44743</v>
      </c>
      <c r="CA1" s="20">
        <v>44774</v>
      </c>
      <c r="CB1" s="20">
        <v>44805</v>
      </c>
      <c r="CC1" s="20">
        <v>44835</v>
      </c>
      <c r="CD1" s="20">
        <v>44866</v>
      </c>
      <c r="CE1" s="20">
        <v>44896</v>
      </c>
      <c r="CF1" s="20">
        <v>44927</v>
      </c>
      <c r="CG1" s="20">
        <v>44958</v>
      </c>
      <c r="CH1" s="20">
        <v>44986</v>
      </c>
      <c r="CI1" s="20">
        <v>45017</v>
      </c>
      <c r="CJ1" s="20">
        <v>45047</v>
      </c>
      <c r="CK1" s="20">
        <v>45078</v>
      </c>
      <c r="CL1" s="20">
        <v>45108</v>
      </c>
      <c r="CM1" s="20">
        <v>45139</v>
      </c>
      <c r="CN1" s="20">
        <v>45170</v>
      </c>
      <c r="CO1" s="20">
        <v>45200</v>
      </c>
      <c r="CP1" s="20">
        <v>45231</v>
      </c>
      <c r="CQ1" s="20">
        <v>45261</v>
      </c>
      <c r="CR1" s="20">
        <v>45292</v>
      </c>
      <c r="CS1" s="20">
        <v>45323</v>
      </c>
      <c r="CT1" s="20">
        <v>45352</v>
      </c>
      <c r="CU1" s="20">
        <v>45383</v>
      </c>
      <c r="CV1" s="20">
        <v>45413</v>
      </c>
      <c r="CW1" s="20">
        <v>45444</v>
      </c>
      <c r="CX1" s="20">
        <v>45474</v>
      </c>
      <c r="CY1" s="20">
        <v>45505</v>
      </c>
      <c r="CZ1" s="20">
        <v>45536</v>
      </c>
      <c r="DA1" s="20">
        <v>45566</v>
      </c>
      <c r="DB1" s="20">
        <v>45597</v>
      </c>
      <c r="DC1" s="20">
        <v>45627</v>
      </c>
      <c r="DD1" s="20">
        <v>45658</v>
      </c>
      <c r="DE1" s="20">
        <v>45689</v>
      </c>
      <c r="DF1" s="20">
        <v>45717</v>
      </c>
      <c r="DG1" s="20">
        <v>45748</v>
      </c>
      <c r="DH1" s="20">
        <v>45778</v>
      </c>
      <c r="DI1" s="20">
        <v>45809</v>
      </c>
      <c r="DJ1" s="20">
        <v>45839</v>
      </c>
      <c r="DK1" s="20">
        <v>45870</v>
      </c>
      <c r="DL1" s="20">
        <v>45901</v>
      </c>
      <c r="DM1" s="20">
        <v>45931</v>
      </c>
      <c r="DN1" s="20">
        <v>45962</v>
      </c>
      <c r="DO1" s="20">
        <v>45992</v>
      </c>
      <c r="DP1" s="20">
        <v>46023</v>
      </c>
      <c r="DQ1" s="20">
        <v>46054</v>
      </c>
      <c r="DR1" s="20">
        <v>46082</v>
      </c>
    </row>
    <row r="2" spans="1:122" s="26" customFormat="1" x14ac:dyDescent="0.35">
      <c r="A2" s="21" t="s">
        <v>10</v>
      </c>
      <c r="B2" s="21" t="s">
        <v>60</v>
      </c>
      <c r="C2" s="22" t="s">
        <v>61</v>
      </c>
      <c r="D2" s="21" t="s">
        <v>6</v>
      </c>
      <c r="E2" s="100">
        <v>886.44399108473317</v>
      </c>
      <c r="F2" s="25">
        <v>98.387226031082065</v>
      </c>
      <c r="G2" s="25">
        <v>98.413038684833012</v>
      </c>
      <c r="H2" s="25">
        <v>98.483567699204485</v>
      </c>
      <c r="I2" s="25">
        <v>98.704847940396178</v>
      </c>
      <c r="J2" s="25">
        <v>99.387083192906445</v>
      </c>
      <c r="K2" s="25">
        <v>99.870064363671105</v>
      </c>
      <c r="L2" s="25">
        <v>100.18150617841032</v>
      </c>
      <c r="M2" s="25">
        <v>100.62842467566664</v>
      </c>
      <c r="N2" s="25">
        <v>100.75947884472869</v>
      </c>
      <c r="O2" s="25">
        <v>101.46321621856303</v>
      </c>
      <c r="P2" s="25">
        <v>101.9684677046645</v>
      </c>
      <c r="Q2" s="25">
        <v>101.74983835180329</v>
      </c>
      <c r="R2" s="25">
        <v>102.43424704491859</v>
      </c>
      <c r="S2" s="25">
        <v>103.4958171877809</v>
      </c>
      <c r="T2" s="25">
        <v>103.75000551885086</v>
      </c>
      <c r="U2" s="25">
        <v>103.99331491463489</v>
      </c>
      <c r="V2" s="25">
        <v>103.56911209724969</v>
      </c>
      <c r="W2" s="25">
        <v>102.53313216825721</v>
      </c>
      <c r="X2" s="25">
        <v>102.05296387592854</v>
      </c>
      <c r="Y2" s="25">
        <v>102.49659849393345</v>
      </c>
      <c r="Z2" s="25">
        <v>103.09334402405875</v>
      </c>
      <c r="AA2" s="25">
        <v>103.70469964465001</v>
      </c>
      <c r="AB2" s="25">
        <v>104.1136314494328</v>
      </c>
      <c r="AC2" s="25">
        <v>104.72388025033884</v>
      </c>
      <c r="AD2" s="25">
        <v>104.96432931678181</v>
      </c>
      <c r="AE2" s="25">
        <v>105.61708933501426</v>
      </c>
      <c r="AF2" s="25">
        <v>105.93130894677978</v>
      </c>
      <c r="AG2" s="25">
        <v>105.70868831415538</v>
      </c>
      <c r="AH2" s="25">
        <v>105.23211890956694</v>
      </c>
      <c r="AI2" s="25">
        <v>105.58383274612468</v>
      </c>
      <c r="AJ2" s="25">
        <v>105.41325361854682</v>
      </c>
      <c r="AK2" s="25">
        <v>105.18100943601912</v>
      </c>
      <c r="AL2" s="25">
        <v>105.4278391292117</v>
      </c>
      <c r="AM2" s="25">
        <v>105.83250842049367</v>
      </c>
      <c r="AN2" s="25">
        <v>105.93897338064789</v>
      </c>
      <c r="AO2" s="25">
        <v>105.59437149867982</v>
      </c>
      <c r="AP2" s="25">
        <v>105.54889631132683</v>
      </c>
      <c r="AQ2" s="25">
        <v>105.75002007836721</v>
      </c>
      <c r="AR2" s="25">
        <v>105.92098423198267</v>
      </c>
      <c r="AS2" s="25">
        <v>105.81524751408868</v>
      </c>
      <c r="AT2" s="25">
        <v>106.31373819321462</v>
      </c>
      <c r="AU2" s="25">
        <v>106.9137475933347</v>
      </c>
      <c r="AV2" s="25">
        <v>107.68925070164052</v>
      </c>
      <c r="AW2" s="25">
        <v>107.54555544837902</v>
      </c>
      <c r="AX2" s="25">
        <v>108.49304260108239</v>
      </c>
      <c r="AY2" s="25">
        <v>108.56340549051804</v>
      </c>
      <c r="AZ2" s="25">
        <v>108.35386611547186</v>
      </c>
      <c r="BA2" s="25">
        <v>108.90744186377032</v>
      </c>
      <c r="BB2" s="25">
        <v>108.85876369502611</v>
      </c>
      <c r="BC2" s="25">
        <v>109.11118987226209</v>
      </c>
      <c r="BD2" s="25">
        <v>108.9156466305558</v>
      </c>
      <c r="BE2" s="25">
        <v>109.08054736024776</v>
      </c>
      <c r="BF2" s="25">
        <v>108.96852676077219</v>
      </c>
      <c r="BG2" s="25">
        <v>109.68922870249183</v>
      </c>
      <c r="BH2" s="25">
        <v>110.73494057237043</v>
      </c>
      <c r="BI2" s="25">
        <v>111.10053464220059</v>
      </c>
      <c r="BJ2" s="25">
        <v>111.885727754716</v>
      </c>
      <c r="BK2" s="25">
        <v>112.06710020430046</v>
      </c>
      <c r="BL2" s="25">
        <v>112.05693045603952</v>
      </c>
      <c r="BM2" s="25">
        <v>112.00441886950445</v>
      </c>
      <c r="BN2" s="25">
        <v>112.72528194931088</v>
      </c>
      <c r="BO2" s="25">
        <v>113.23370987499543</v>
      </c>
      <c r="BP2" s="25">
        <v>112.99649349480556</v>
      </c>
      <c r="BQ2" s="25">
        <v>114.06907019792533</v>
      </c>
      <c r="BR2" s="25">
        <v>115.32379344455636</v>
      </c>
      <c r="BS2" s="25">
        <v>115.60738721087586</v>
      </c>
      <c r="BT2" s="25">
        <v>116.35408336288258</v>
      </c>
      <c r="BU2" s="25">
        <v>116.63312311699185</v>
      </c>
      <c r="BV2" s="25">
        <v>117.84580455107854</v>
      </c>
      <c r="BW2" s="25">
        <v>120.03443345052682</v>
      </c>
      <c r="BX2" s="25">
        <v>120.53319892313608</v>
      </c>
      <c r="BY2" s="25">
        <v>121.89682102525293</v>
      </c>
      <c r="BZ2" s="25">
        <v>122.29045080777679</v>
      </c>
      <c r="CA2" s="25">
        <v>122.51143378493389</v>
      </c>
      <c r="CB2" s="25">
        <v>123.65336571607963</v>
      </c>
      <c r="CC2" s="25">
        <v>123.28681708526916</v>
      </c>
      <c r="CD2" s="25">
        <v>123.23853700108084</v>
      </c>
      <c r="CE2" s="25">
        <v>123.17648637050024</v>
      </c>
      <c r="CF2" s="25">
        <v>123.36134040122606</v>
      </c>
      <c r="CG2" s="25">
        <v>123.27785782402489</v>
      </c>
      <c r="CH2" s="25">
        <v>123.29418615217065</v>
      </c>
      <c r="CI2" s="25">
        <v>123.72064489991662</v>
      </c>
      <c r="CJ2" s="25">
        <v>123.50099237400741</v>
      </c>
      <c r="CK2" s="25">
        <v>122.9630308325723</v>
      </c>
      <c r="CL2" s="25">
        <v>122.88002527869563</v>
      </c>
      <c r="CM2" s="25">
        <v>123.34794505793847</v>
      </c>
      <c r="CN2" s="25">
        <v>123.58845188863873</v>
      </c>
      <c r="CO2" s="25">
        <v>123.29553670610065</v>
      </c>
      <c r="CP2" s="25">
        <v>123.3393594846262</v>
      </c>
      <c r="CQ2" s="25">
        <v>123.17694722101837</v>
      </c>
      <c r="CR2" s="25">
        <v>123.65008856448077</v>
      </c>
      <c r="CS2" s="25">
        <v>124.48666224229963</v>
      </c>
      <c r="CT2" s="25">
        <v>124.68562178950762</v>
      </c>
      <c r="CU2" s="25">
        <v>124.47137190063923</v>
      </c>
      <c r="CV2" s="25">
        <v>124.40637999981242</v>
      </c>
      <c r="CW2" s="25">
        <v>124.50425559184252</v>
      </c>
      <c r="CX2" s="25">
        <v>124.56911764709189</v>
      </c>
      <c r="CY2" s="25">
        <v>124.57158355950455</v>
      </c>
      <c r="CZ2" s="25">
        <v>123.94781221544538</v>
      </c>
      <c r="DA2" s="25">
        <v>123.97368436442811</v>
      </c>
      <c r="DB2" s="25">
        <v>124.3295830574823</v>
      </c>
      <c r="DC2" s="25">
        <v>124.93338975681642</v>
      </c>
      <c r="DD2" s="25">
        <v>125.7917328850281</v>
      </c>
      <c r="DE2" s="25">
        <v>126.24824406054697</v>
      </c>
      <c r="DF2" s="25">
        <v>126.61786460934157</v>
      </c>
      <c r="DG2" s="25">
        <v>126.42502672239637</v>
      </c>
      <c r="DH2" s="25">
        <v>126.71226922625777</v>
      </c>
      <c r="DI2" s="25">
        <v>126.71444417098385</v>
      </c>
      <c r="DJ2" s="25">
        <v>126.63034437071273</v>
      </c>
      <c r="DK2" s="25">
        <v>126.42249563218648</v>
      </c>
      <c r="DL2" s="25">
        <v>126.30462044534377</v>
      </c>
      <c r="DM2" s="25">
        <v>125.95356773010933</v>
      </c>
      <c r="DN2" s="25">
        <v>125.913523787074</v>
      </c>
      <c r="DO2" s="25">
        <v>126.08299566278956</v>
      </c>
      <c r="DP2" s="25">
        <v>126.48085425315719</v>
      </c>
      <c r="DQ2" s="25">
        <v>126.76393679124327</v>
      </c>
      <c r="DR2" s="25">
        <v>127.16306937799652</v>
      </c>
    </row>
    <row r="3" spans="1:122" s="26" customFormat="1" x14ac:dyDescent="0.35">
      <c r="A3" s="27">
        <v>10</v>
      </c>
      <c r="B3" s="28"/>
      <c r="C3" s="27"/>
      <c r="D3" s="29" t="s">
        <v>12</v>
      </c>
      <c r="E3" s="101">
        <v>358.35505688192308</v>
      </c>
      <c r="F3" s="24">
        <v>97.381441959017067</v>
      </c>
      <c r="G3" s="24">
        <v>97.330058398424001</v>
      </c>
      <c r="H3" s="24">
        <v>97.721923860152643</v>
      </c>
      <c r="I3" s="24">
        <v>98.062497537712602</v>
      </c>
      <c r="J3" s="24">
        <v>98.958667635434196</v>
      </c>
      <c r="K3" s="24">
        <v>99.576247904031121</v>
      </c>
      <c r="L3" s="24">
        <v>100.03954658109477</v>
      </c>
      <c r="M3" s="24">
        <v>100.67444443592015</v>
      </c>
      <c r="N3" s="24">
        <v>101.19008298187202</v>
      </c>
      <c r="O3" s="24">
        <v>102.36562447589408</v>
      </c>
      <c r="P3" s="24">
        <v>103.61651949825607</v>
      </c>
      <c r="Q3" s="24">
        <v>103.0749298330207</v>
      </c>
      <c r="R3" s="24">
        <v>104.50141035624182</v>
      </c>
      <c r="S3" s="24">
        <v>106.30147427124174</v>
      </c>
      <c r="T3" s="24">
        <v>106.27400215752554</v>
      </c>
      <c r="U3" s="24">
        <v>106.89265478351749</v>
      </c>
      <c r="V3" s="24">
        <v>105.53837961275617</v>
      </c>
      <c r="W3" s="24">
        <v>102.51778694345202</v>
      </c>
      <c r="X3" s="24">
        <v>101.17639618404026</v>
      </c>
      <c r="Y3" s="24">
        <v>101.2987178471455</v>
      </c>
      <c r="Z3" s="24">
        <v>101.47779584781938</v>
      </c>
      <c r="AA3" s="24">
        <v>102.07915679295527</v>
      </c>
      <c r="AB3" s="24">
        <v>103.06841880896849</v>
      </c>
      <c r="AC3" s="24">
        <v>103.71722920809331</v>
      </c>
      <c r="AD3" s="24">
        <v>104.18078805303072</v>
      </c>
      <c r="AE3" s="24">
        <v>106.29041251086295</v>
      </c>
      <c r="AF3" s="24">
        <v>106.44187599569086</v>
      </c>
      <c r="AG3" s="24">
        <v>105.78159467875042</v>
      </c>
      <c r="AH3" s="24">
        <v>104.78271058532381</v>
      </c>
      <c r="AI3" s="24">
        <v>104.64468368847922</v>
      </c>
      <c r="AJ3" s="24">
        <v>103.97806213808975</v>
      </c>
      <c r="AK3" s="24">
        <v>103.46495564534804</v>
      </c>
      <c r="AL3" s="24">
        <v>103.3998254564612</v>
      </c>
      <c r="AM3" s="24">
        <v>104.07801813405396</v>
      </c>
      <c r="AN3" s="24">
        <v>104.42446575677793</v>
      </c>
      <c r="AO3" s="24">
        <v>104.03431317244005</v>
      </c>
      <c r="AP3" s="24">
        <v>103.41199024089464</v>
      </c>
      <c r="AQ3" s="24">
        <v>104.50781293923015</v>
      </c>
      <c r="AR3" s="24">
        <v>105.32563815294903</v>
      </c>
      <c r="AS3" s="24">
        <v>105.18831423862369</v>
      </c>
      <c r="AT3" s="24">
        <v>105.97185006223387</v>
      </c>
      <c r="AU3" s="24">
        <v>107.57012365371938</v>
      </c>
      <c r="AV3" s="24">
        <v>109.02829355966296</v>
      </c>
      <c r="AW3" s="24">
        <v>108.65731054414226</v>
      </c>
      <c r="AX3" s="24">
        <v>110.05334704799452</v>
      </c>
      <c r="AY3" s="24">
        <v>110.0367691115155</v>
      </c>
      <c r="AZ3" s="24">
        <v>109.32639009445523</v>
      </c>
      <c r="BA3" s="24">
        <v>110.02498411094238</v>
      </c>
      <c r="BB3" s="24">
        <v>110.31670293359549</v>
      </c>
      <c r="BC3" s="24">
        <v>110.98562117139245</v>
      </c>
      <c r="BD3" s="24">
        <v>110.21026266605783</v>
      </c>
      <c r="BE3" s="24">
        <v>110.78525530787158</v>
      </c>
      <c r="BF3" s="24">
        <v>110.40102835807319</v>
      </c>
      <c r="BG3" s="24">
        <v>111.60464286576641</v>
      </c>
      <c r="BH3" s="24">
        <v>113.30633354909084</v>
      </c>
      <c r="BI3" s="24">
        <v>114.19107201102221</v>
      </c>
      <c r="BJ3" s="24">
        <v>115.8300896140337</v>
      </c>
      <c r="BK3" s="24">
        <v>116.1394653377962</v>
      </c>
      <c r="BL3" s="24">
        <v>116.62372616677538</v>
      </c>
      <c r="BM3" s="24">
        <v>116.28635451315439</v>
      </c>
      <c r="BN3" s="24">
        <v>117.53785268420174</v>
      </c>
      <c r="BO3" s="24">
        <v>118.74964458383072</v>
      </c>
      <c r="BP3" s="24">
        <v>117.7490473637048</v>
      </c>
      <c r="BQ3" s="24">
        <v>119.60792256927174</v>
      </c>
      <c r="BR3" s="24">
        <v>121.80819017052579</v>
      </c>
      <c r="BS3" s="24">
        <v>122.35151415919619</v>
      </c>
      <c r="BT3" s="24">
        <v>122.96468777882404</v>
      </c>
      <c r="BU3" s="24">
        <v>123.06347336458272</v>
      </c>
      <c r="BV3" s="24">
        <v>124.17532709160493</v>
      </c>
      <c r="BW3" s="24">
        <v>127.46268693104737</v>
      </c>
      <c r="BX3" s="24">
        <v>127.22955846629451</v>
      </c>
      <c r="BY3" s="24">
        <v>130.03857666464788</v>
      </c>
      <c r="BZ3" s="24">
        <v>130.59609981594491</v>
      </c>
      <c r="CA3" s="24">
        <v>130.78151237304527</v>
      </c>
      <c r="CB3" s="24">
        <v>132.77584155207353</v>
      </c>
      <c r="CC3" s="24">
        <v>131.80813591026785</v>
      </c>
      <c r="CD3" s="24">
        <v>131.39486546162539</v>
      </c>
      <c r="CE3" s="24">
        <v>130.93900033730429</v>
      </c>
      <c r="CF3" s="24">
        <v>131.34111554683716</v>
      </c>
      <c r="CG3" s="24">
        <v>130.9017981194711</v>
      </c>
      <c r="CH3" s="24">
        <v>130.60070686467469</v>
      </c>
      <c r="CI3" s="24">
        <v>131.57700282116627</v>
      </c>
      <c r="CJ3" s="24">
        <v>130.76573864461395</v>
      </c>
      <c r="CK3" s="24">
        <v>130.29787689825679</v>
      </c>
      <c r="CL3" s="24">
        <v>130.58210164154877</v>
      </c>
      <c r="CM3" s="24">
        <v>131.36498229878393</v>
      </c>
      <c r="CN3" s="24">
        <v>131.58913084944751</v>
      </c>
      <c r="CO3" s="24">
        <v>130.79291662625144</v>
      </c>
      <c r="CP3" s="24">
        <v>130.53033750830838</v>
      </c>
      <c r="CQ3" s="24">
        <v>130.13251813375942</v>
      </c>
      <c r="CR3" s="24">
        <v>131.07268489083594</v>
      </c>
      <c r="CS3" s="24">
        <v>131.8498653321472</v>
      </c>
      <c r="CT3" s="24">
        <v>131.67741952911129</v>
      </c>
      <c r="CU3" s="24">
        <v>130.92802909037911</v>
      </c>
      <c r="CV3" s="24">
        <v>130.96739471031728</v>
      </c>
      <c r="CW3" s="24">
        <v>131.37147075260032</v>
      </c>
      <c r="CX3" s="24">
        <v>131.82633634773333</v>
      </c>
      <c r="CY3" s="24">
        <v>131.98800359842537</v>
      </c>
      <c r="CZ3" s="24">
        <v>131.15782934028533</v>
      </c>
      <c r="DA3" s="24">
        <v>131.35264684569805</v>
      </c>
      <c r="DB3" s="24">
        <v>132.3514463637307</v>
      </c>
      <c r="DC3" s="24">
        <v>133.89789830426298</v>
      </c>
      <c r="DD3" s="24">
        <v>135.75717026238138</v>
      </c>
      <c r="DE3" s="24">
        <v>136.20837550842992</v>
      </c>
      <c r="DF3" s="24">
        <v>137.28035120066428</v>
      </c>
      <c r="DG3" s="24">
        <v>137.03075756574779</v>
      </c>
      <c r="DH3" s="24">
        <v>137.9403924598642</v>
      </c>
      <c r="DI3" s="24">
        <v>138.18653178711278</v>
      </c>
      <c r="DJ3" s="24">
        <v>138.47643541471584</v>
      </c>
      <c r="DK3" s="24">
        <v>138.19353579955691</v>
      </c>
      <c r="DL3" s="24">
        <v>138.04441765916062</v>
      </c>
      <c r="DM3" s="24">
        <v>137.52558182598895</v>
      </c>
      <c r="DN3" s="24">
        <v>137.24148617634481</v>
      </c>
      <c r="DO3" s="24">
        <v>137.83557583253159</v>
      </c>
      <c r="DP3" s="24">
        <v>138.28500341244489</v>
      </c>
      <c r="DQ3" s="24">
        <v>138.87936208235612</v>
      </c>
      <c r="DR3" s="24">
        <v>138.53752848574234</v>
      </c>
    </row>
    <row r="4" spans="1:122" s="30" customFormat="1" x14ac:dyDescent="0.35">
      <c r="B4" s="30">
        <v>101</v>
      </c>
      <c r="C4" s="31" t="s">
        <v>135</v>
      </c>
      <c r="D4" s="32" t="s">
        <v>62</v>
      </c>
      <c r="E4" s="102">
        <v>74.87264098835</v>
      </c>
      <c r="F4" s="33">
        <v>99.721368459264056</v>
      </c>
      <c r="G4" s="33">
        <v>99.721368459264056</v>
      </c>
      <c r="H4" s="33">
        <v>99.721368459264056</v>
      </c>
      <c r="I4" s="33">
        <v>99.848216201754269</v>
      </c>
      <c r="J4" s="33">
        <v>99.848216201754269</v>
      </c>
      <c r="K4" s="33">
        <v>99.848216201754269</v>
      </c>
      <c r="L4" s="33">
        <v>99.842425262293077</v>
      </c>
      <c r="M4" s="33">
        <v>99.842425262293077</v>
      </c>
      <c r="N4" s="33">
        <v>99.842425262293077</v>
      </c>
      <c r="O4" s="33">
        <v>100.07354235509305</v>
      </c>
      <c r="P4" s="33">
        <v>100.84521393748639</v>
      </c>
      <c r="Q4" s="33">
        <v>100.84521393748639</v>
      </c>
      <c r="R4" s="33">
        <v>100.92618771434294</v>
      </c>
      <c r="S4" s="33">
        <v>102.76967538365629</v>
      </c>
      <c r="T4" s="33">
        <v>102.69662470782303</v>
      </c>
      <c r="U4" s="33">
        <v>104.00519590647761</v>
      </c>
      <c r="V4" s="33">
        <v>104.80923192137783</v>
      </c>
      <c r="W4" s="33">
        <v>105.17121189364137</v>
      </c>
      <c r="X4" s="33">
        <v>106.96823745959026</v>
      </c>
      <c r="Y4" s="33">
        <v>105.84455906506454</v>
      </c>
      <c r="Z4" s="33">
        <v>107.31700996685365</v>
      </c>
      <c r="AA4" s="33">
        <v>107.77423760050169</v>
      </c>
      <c r="AB4" s="33">
        <v>107.66803247670549</v>
      </c>
      <c r="AC4" s="33">
        <v>107.77306226353508</v>
      </c>
      <c r="AD4" s="33">
        <v>108.71119287824423</v>
      </c>
      <c r="AE4" s="33">
        <v>112.91429160941026</v>
      </c>
      <c r="AF4" s="33">
        <v>112.76690961419312</v>
      </c>
      <c r="AG4" s="33">
        <v>113.85301960708223</v>
      </c>
      <c r="AH4" s="33">
        <v>113.05905133418013</v>
      </c>
      <c r="AI4" s="33">
        <v>113.96450311220977</v>
      </c>
      <c r="AJ4" s="33">
        <v>115.0043989030181</v>
      </c>
      <c r="AK4" s="33">
        <v>114.63389139283562</v>
      </c>
      <c r="AL4" s="33">
        <v>114.80723290795625</v>
      </c>
      <c r="AM4" s="33">
        <v>115.76024988373418</v>
      </c>
      <c r="AN4" s="33">
        <v>114.77632906677232</v>
      </c>
      <c r="AO4" s="33">
        <v>114.19301461478206</v>
      </c>
      <c r="AP4" s="33">
        <v>115.14766583007354</v>
      </c>
      <c r="AQ4" s="33">
        <v>116.37229809927342</v>
      </c>
      <c r="AR4" s="33">
        <v>116.87295062556333</v>
      </c>
      <c r="AS4" s="33">
        <v>117.27338092681903</v>
      </c>
      <c r="AT4" s="33">
        <v>118.21891090108046</v>
      </c>
      <c r="AU4" s="33">
        <v>118.7007840627862</v>
      </c>
      <c r="AV4" s="33">
        <v>121.86455417105219</v>
      </c>
      <c r="AW4" s="33">
        <v>121.10133769707001</v>
      </c>
      <c r="AX4" s="33">
        <v>122.76231065438212</v>
      </c>
      <c r="AY4" s="33">
        <v>125.56648877883171</v>
      </c>
      <c r="AZ4" s="33">
        <v>127.37006986003587</v>
      </c>
      <c r="BA4" s="33">
        <v>128.17881103552818</v>
      </c>
      <c r="BB4" s="33">
        <v>127.68381032521768</v>
      </c>
      <c r="BC4" s="33">
        <v>129.94417750551381</v>
      </c>
      <c r="BD4" s="33">
        <v>129.95010113712269</v>
      </c>
      <c r="BE4" s="33">
        <v>131.75629389873774</v>
      </c>
      <c r="BF4" s="33">
        <v>130.97714722915828</v>
      </c>
      <c r="BG4" s="33">
        <v>131.49676292624591</v>
      </c>
      <c r="BH4" s="33">
        <v>131.77356916400018</v>
      </c>
      <c r="BI4" s="33">
        <v>131.66403602560658</v>
      </c>
      <c r="BJ4" s="33">
        <v>131.99676590412267</v>
      </c>
      <c r="BK4" s="33">
        <v>132.07341413692114</v>
      </c>
      <c r="BL4" s="33">
        <v>133.06730867650376</v>
      </c>
      <c r="BM4" s="33">
        <v>133.25826124242477</v>
      </c>
      <c r="BN4" s="33">
        <v>131.54087466891229</v>
      </c>
      <c r="BO4" s="33">
        <v>132.75120196988141</v>
      </c>
      <c r="BP4" s="33">
        <v>132.91963787043699</v>
      </c>
      <c r="BQ4" s="33">
        <v>132.18173705048881</v>
      </c>
      <c r="BR4" s="33">
        <v>133.2790358862967</v>
      </c>
      <c r="BS4" s="33">
        <v>133.56577045044287</v>
      </c>
      <c r="BT4" s="33">
        <v>134.62541773153552</v>
      </c>
      <c r="BU4" s="33">
        <v>133.31941818043842</v>
      </c>
      <c r="BV4" s="33">
        <v>133.1700585152723</v>
      </c>
      <c r="BW4" s="33">
        <v>134.68470046180599</v>
      </c>
      <c r="BX4" s="33">
        <v>136.14877222517478</v>
      </c>
      <c r="BY4" s="33">
        <v>136.15269766131817</v>
      </c>
      <c r="BZ4" s="33">
        <v>135.8707105927121</v>
      </c>
      <c r="CA4" s="33">
        <v>135.56404002742323</v>
      </c>
      <c r="CB4" s="33">
        <v>135.05963609264035</v>
      </c>
      <c r="CC4" s="33">
        <v>135.08466458044165</v>
      </c>
      <c r="CD4" s="33">
        <v>135.65158587746762</v>
      </c>
      <c r="CE4" s="33">
        <v>137.04455119026682</v>
      </c>
      <c r="CF4" s="33">
        <v>137.13056529094257</v>
      </c>
      <c r="CG4" s="33">
        <v>137.13056529094257</v>
      </c>
      <c r="CH4" s="33">
        <v>137.13056529094257</v>
      </c>
      <c r="CI4" s="33">
        <v>138.38306408172087</v>
      </c>
      <c r="CJ4" s="33">
        <v>138.38306408172087</v>
      </c>
      <c r="CK4" s="33">
        <v>138.38306408172087</v>
      </c>
      <c r="CL4" s="33">
        <v>138.38306408172087</v>
      </c>
      <c r="CM4" s="33">
        <v>138.38306408172087</v>
      </c>
      <c r="CN4" s="33">
        <v>138.38306408172087</v>
      </c>
      <c r="CO4" s="33">
        <v>138.38306408172087</v>
      </c>
      <c r="CP4" s="33">
        <v>138.38306408172087</v>
      </c>
      <c r="CQ4" s="33">
        <v>138.38306408172087</v>
      </c>
      <c r="CR4" s="33">
        <v>149.0590191617683</v>
      </c>
      <c r="CS4" s="33">
        <v>152.47968853600366</v>
      </c>
      <c r="CT4" s="33">
        <v>156.46418432973718</v>
      </c>
      <c r="CU4" s="33">
        <v>154.60826672563769</v>
      </c>
      <c r="CV4" s="33">
        <v>156.16286758024469</v>
      </c>
      <c r="CW4" s="33">
        <v>159.4846484668283</v>
      </c>
      <c r="CX4" s="33">
        <v>160.97249311711391</v>
      </c>
      <c r="CY4" s="33">
        <v>160.97249311711391</v>
      </c>
      <c r="CZ4" s="33">
        <v>159.99099450983158</v>
      </c>
      <c r="DA4" s="33">
        <v>159.99099450983158</v>
      </c>
      <c r="DB4" s="33">
        <v>159.99099450983158</v>
      </c>
      <c r="DC4" s="33">
        <v>166.28202840035496</v>
      </c>
      <c r="DD4" s="33">
        <v>164.31143640088396</v>
      </c>
      <c r="DE4" s="33">
        <v>169.37323093116814</v>
      </c>
      <c r="DF4" s="33">
        <v>175.72570914380535</v>
      </c>
      <c r="DG4" s="33">
        <v>173.01879961952315</v>
      </c>
      <c r="DH4" s="33">
        <v>174.84188487013796</v>
      </c>
      <c r="DI4" s="33">
        <v>175.27693326145007</v>
      </c>
      <c r="DJ4" s="33">
        <v>173.58463762594724</v>
      </c>
      <c r="DK4" s="33">
        <v>173.09080133310482</v>
      </c>
      <c r="DL4" s="33">
        <v>172.34851470363637</v>
      </c>
      <c r="DM4" s="33">
        <v>172.34851470363637</v>
      </c>
      <c r="DN4" s="33">
        <v>171.46817373028151</v>
      </c>
      <c r="DO4" s="33">
        <v>178.57321454196185</v>
      </c>
      <c r="DP4" s="33">
        <v>179.49003376319101</v>
      </c>
      <c r="DQ4" s="33">
        <v>179.49003376319101</v>
      </c>
      <c r="DR4" s="33">
        <v>177.68839124500386</v>
      </c>
    </row>
    <row r="5" spans="1:122" s="35" customFormat="1" x14ac:dyDescent="0.35">
      <c r="B5" s="30">
        <v>102</v>
      </c>
      <c r="C5" s="31" t="s">
        <v>63</v>
      </c>
      <c r="D5" s="34" t="s">
        <v>64</v>
      </c>
      <c r="E5" s="102">
        <v>34.872956815671998</v>
      </c>
      <c r="F5" s="36">
        <v>99.555637382950479</v>
      </c>
      <c r="G5" s="36">
        <v>99.555637382950479</v>
      </c>
      <c r="H5" s="36">
        <v>99.555637382950479</v>
      </c>
      <c r="I5" s="36">
        <v>99.755664041622495</v>
      </c>
      <c r="J5" s="36">
        <v>99.755664041622495</v>
      </c>
      <c r="K5" s="36">
        <v>99.755664041622495</v>
      </c>
      <c r="L5" s="36">
        <v>99.746529081820697</v>
      </c>
      <c r="M5" s="36">
        <v>99.746529081820697</v>
      </c>
      <c r="N5" s="36">
        <v>99.746529081820697</v>
      </c>
      <c r="O5" s="36">
        <v>100.11134452123679</v>
      </c>
      <c r="P5" s="36">
        <v>101.33295138969626</v>
      </c>
      <c r="Q5" s="36">
        <v>101.33295138969626</v>
      </c>
      <c r="R5" s="36">
        <v>103.85753846278358</v>
      </c>
      <c r="S5" s="36">
        <v>110.31674705708947</v>
      </c>
      <c r="T5" s="36">
        <v>105.99896774415436</v>
      </c>
      <c r="U5" s="36">
        <v>114.32769519686279</v>
      </c>
      <c r="V5" s="36">
        <v>107.48788026024387</v>
      </c>
      <c r="W5" s="36">
        <v>100.53985996422291</v>
      </c>
      <c r="X5" s="36">
        <v>97.815146213813406</v>
      </c>
      <c r="Y5" s="36">
        <v>105.11229841400836</v>
      </c>
      <c r="Z5" s="36">
        <v>105.74296922218436</v>
      </c>
      <c r="AA5" s="36">
        <v>108.68605403055794</v>
      </c>
      <c r="AB5" s="36">
        <v>111.15380237307723</v>
      </c>
      <c r="AC5" s="36">
        <v>107.60849774110854</v>
      </c>
      <c r="AD5" s="36">
        <v>107.53204293234081</v>
      </c>
      <c r="AE5" s="36">
        <v>109.72435185617687</v>
      </c>
      <c r="AF5" s="36">
        <v>109.69790859244695</v>
      </c>
      <c r="AG5" s="36">
        <v>106.67274819639667</v>
      </c>
      <c r="AH5" s="36">
        <v>107.01457290470589</v>
      </c>
      <c r="AI5" s="36">
        <v>106.74142465032311</v>
      </c>
      <c r="AJ5" s="36">
        <v>104.65534026649341</v>
      </c>
      <c r="AK5" s="36">
        <v>103.61482753865501</v>
      </c>
      <c r="AL5" s="36">
        <v>101.35651669012539</v>
      </c>
      <c r="AM5" s="36">
        <v>105.14478996122111</v>
      </c>
      <c r="AN5" s="36">
        <v>107.21134340298012</v>
      </c>
      <c r="AO5" s="36">
        <v>108.28233913580219</v>
      </c>
      <c r="AP5" s="36">
        <v>103.06428695974168</v>
      </c>
      <c r="AQ5" s="36">
        <v>110.33963602304516</v>
      </c>
      <c r="AR5" s="36">
        <v>111.11312963781209</v>
      </c>
      <c r="AS5" s="36">
        <v>104.36843900753394</v>
      </c>
      <c r="AT5" s="36">
        <v>112.18727960800219</v>
      </c>
      <c r="AU5" s="36">
        <v>113.21273751153065</v>
      </c>
      <c r="AV5" s="36">
        <v>113.5376280181459</v>
      </c>
      <c r="AW5" s="36">
        <v>113.14565362637937</v>
      </c>
      <c r="AX5" s="36">
        <v>121.34495180252017</v>
      </c>
      <c r="AY5" s="36">
        <v>113.77642000398868</v>
      </c>
      <c r="AZ5" s="36">
        <v>105.08274005311675</v>
      </c>
      <c r="BA5" s="36">
        <v>111.24658769830307</v>
      </c>
      <c r="BB5" s="36">
        <v>114.2431695924958</v>
      </c>
      <c r="BC5" s="36">
        <v>118.45875269871405</v>
      </c>
      <c r="BD5" s="36">
        <v>114.38206961870827</v>
      </c>
      <c r="BE5" s="36">
        <v>115.67652752370877</v>
      </c>
      <c r="BF5" s="36">
        <v>109.36928098918224</v>
      </c>
      <c r="BG5" s="36">
        <v>110.64254963123152</v>
      </c>
      <c r="BH5" s="36">
        <v>111.32690483084319</v>
      </c>
      <c r="BI5" s="36">
        <v>116.4428805341948</v>
      </c>
      <c r="BJ5" s="36">
        <v>123.81881921874275</v>
      </c>
      <c r="BK5" s="36">
        <v>121.4004411101845</v>
      </c>
      <c r="BL5" s="36">
        <v>120.67993018855448</v>
      </c>
      <c r="BM5" s="36">
        <v>118.11170101468089</v>
      </c>
      <c r="BN5" s="36">
        <v>110.7606309147592</v>
      </c>
      <c r="BO5" s="36">
        <v>119.38336219405667</v>
      </c>
      <c r="BP5" s="36">
        <v>114.9024922290845</v>
      </c>
      <c r="BQ5" s="36">
        <v>120.83748124064138</v>
      </c>
      <c r="BR5" s="36">
        <v>119.3946438730607</v>
      </c>
      <c r="BS5" s="36">
        <v>113.28126393867844</v>
      </c>
      <c r="BT5" s="36">
        <v>111.93467982661308</v>
      </c>
      <c r="BU5" s="36">
        <v>111.12103307198814</v>
      </c>
      <c r="BV5" s="36">
        <v>108.29109114431634</v>
      </c>
      <c r="BW5" s="36">
        <v>112.10916722652554</v>
      </c>
      <c r="BX5" s="36">
        <v>103.59141668536125</v>
      </c>
      <c r="BY5" s="36">
        <v>105.82978444846549</v>
      </c>
      <c r="BZ5" s="36">
        <v>106.18657358678001</v>
      </c>
      <c r="CA5" s="36">
        <v>108.24393921136011</v>
      </c>
      <c r="CB5" s="36">
        <v>113.69086422762764</v>
      </c>
      <c r="CC5" s="36">
        <v>105.63148206007908</v>
      </c>
      <c r="CD5" s="36">
        <v>101.92715211539522</v>
      </c>
      <c r="CE5" s="36">
        <v>104.89314725021337</v>
      </c>
      <c r="CF5" s="36">
        <v>110.19062357245188</v>
      </c>
      <c r="CG5" s="36">
        <v>102.72944562088549</v>
      </c>
      <c r="CH5" s="36">
        <v>111.17761552480519</v>
      </c>
      <c r="CI5" s="36">
        <v>107.91306092126662</v>
      </c>
      <c r="CJ5" s="36">
        <v>109.08326558729807</v>
      </c>
      <c r="CK5" s="36">
        <v>107.08087246021636</v>
      </c>
      <c r="CL5" s="36">
        <v>110.26610487259643</v>
      </c>
      <c r="CM5" s="36">
        <v>114.62307351932986</v>
      </c>
      <c r="CN5" s="36">
        <v>112.77399829137639</v>
      </c>
      <c r="CO5" s="36">
        <v>110.85539601260716</v>
      </c>
      <c r="CP5" s="36">
        <v>109.87117824305479</v>
      </c>
      <c r="CQ5" s="36">
        <v>113.47488501752289</v>
      </c>
      <c r="CR5" s="36">
        <v>115.81806684217754</v>
      </c>
      <c r="CS5" s="36">
        <v>124.98227191237285</v>
      </c>
      <c r="CT5" s="36">
        <v>131.05854692541089</v>
      </c>
      <c r="CU5" s="36">
        <v>130.26811799853058</v>
      </c>
      <c r="CV5" s="36">
        <v>125.30057180164626</v>
      </c>
      <c r="CW5" s="36">
        <v>125.03720094024241</v>
      </c>
      <c r="CX5" s="36">
        <v>124.98732151127967</v>
      </c>
      <c r="CY5" s="36">
        <v>131.38194381464666</v>
      </c>
      <c r="CZ5" s="36">
        <v>134.51156363290082</v>
      </c>
      <c r="DA5" s="36">
        <v>128.72934526532657</v>
      </c>
      <c r="DB5" s="36">
        <v>129.70960433237821</v>
      </c>
      <c r="DC5" s="36">
        <v>128.459201378296</v>
      </c>
      <c r="DD5" s="36">
        <v>140.03481808758383</v>
      </c>
      <c r="DE5" s="36">
        <v>142.34160975296319</v>
      </c>
      <c r="DF5" s="36">
        <v>141.76231321292786</v>
      </c>
      <c r="DG5" s="36">
        <v>140.8995540389416</v>
      </c>
      <c r="DH5" s="36">
        <v>145.01886778790805</v>
      </c>
      <c r="DI5" s="36">
        <v>144.49542150692204</v>
      </c>
      <c r="DJ5" s="36">
        <v>144.32954432253067</v>
      </c>
      <c r="DK5" s="36">
        <v>147.91461662145315</v>
      </c>
      <c r="DL5" s="36">
        <v>146.64037457066703</v>
      </c>
      <c r="DM5" s="36">
        <v>141.73397595117942</v>
      </c>
      <c r="DN5" s="36">
        <v>141.00854646847719</v>
      </c>
      <c r="DO5" s="36">
        <v>140.212831254474</v>
      </c>
      <c r="DP5" s="36">
        <v>144.47980751670991</v>
      </c>
      <c r="DQ5" s="36">
        <v>154.12162543246922</v>
      </c>
      <c r="DR5" s="36">
        <v>145.53700880291126</v>
      </c>
    </row>
    <row r="6" spans="1:122" s="35" customFormat="1" x14ac:dyDescent="0.35">
      <c r="B6" s="30">
        <v>103</v>
      </c>
      <c r="C6" s="37">
        <v>1030</v>
      </c>
      <c r="D6" s="34" t="s">
        <v>65</v>
      </c>
      <c r="E6" s="102">
        <v>17.242749016877699</v>
      </c>
      <c r="F6" s="36">
        <v>96.482847671801693</v>
      </c>
      <c r="G6" s="36">
        <v>96.071793766762468</v>
      </c>
      <c r="H6" s="36">
        <v>96.740800652818805</v>
      </c>
      <c r="I6" s="36">
        <v>98.005509293097347</v>
      </c>
      <c r="J6" s="36">
        <v>101.18553734136039</v>
      </c>
      <c r="K6" s="36">
        <v>102.2116509105405</v>
      </c>
      <c r="L6" s="36">
        <v>100.58328897584154</v>
      </c>
      <c r="M6" s="36">
        <v>100.60840435689262</v>
      </c>
      <c r="N6" s="36">
        <v>102.50786452046665</v>
      </c>
      <c r="O6" s="36">
        <v>102.00617555401469</v>
      </c>
      <c r="P6" s="36">
        <v>102.20290220567514</v>
      </c>
      <c r="Q6" s="36">
        <v>101.32628086389907</v>
      </c>
      <c r="R6" s="36">
        <v>101.64769273062207</v>
      </c>
      <c r="S6" s="36">
        <v>103.93721723320878</v>
      </c>
      <c r="T6" s="36">
        <v>103.3642514641912</v>
      </c>
      <c r="U6" s="36">
        <v>104.26754916807185</v>
      </c>
      <c r="V6" s="36">
        <v>103.43682364596694</v>
      </c>
      <c r="W6" s="36">
        <v>103.06739448192504</v>
      </c>
      <c r="X6" s="36">
        <v>101.24344973417679</v>
      </c>
      <c r="Y6" s="36">
        <v>104.63852521142336</v>
      </c>
      <c r="Z6" s="36">
        <v>104.64755105765414</v>
      </c>
      <c r="AA6" s="36">
        <v>104.37897402807187</v>
      </c>
      <c r="AB6" s="36">
        <v>105.54414180523528</v>
      </c>
      <c r="AC6" s="36">
        <v>108.9118314579039</v>
      </c>
      <c r="AD6" s="36">
        <v>106.66493794976853</v>
      </c>
      <c r="AE6" s="36">
        <v>105.27179773598696</v>
      </c>
      <c r="AF6" s="36">
        <v>107.16644612039671</v>
      </c>
      <c r="AG6" s="36">
        <v>106.79105832946642</v>
      </c>
      <c r="AH6" s="36">
        <v>106.8758060791703</v>
      </c>
      <c r="AI6" s="36">
        <v>105.97557436213332</v>
      </c>
      <c r="AJ6" s="36">
        <v>105.83284497038512</v>
      </c>
      <c r="AK6" s="36">
        <v>105.91236240517171</v>
      </c>
      <c r="AL6" s="36">
        <v>106.6245559963737</v>
      </c>
      <c r="AM6" s="36">
        <v>109.87715460648162</v>
      </c>
      <c r="AN6" s="36">
        <v>110.43427059590066</v>
      </c>
      <c r="AO6" s="36">
        <v>109.382699881661</v>
      </c>
      <c r="AP6" s="36">
        <v>107.80545879131172</v>
      </c>
      <c r="AQ6" s="36">
        <v>108.13344673754999</v>
      </c>
      <c r="AR6" s="36">
        <v>107.4556250485314</v>
      </c>
      <c r="AS6" s="36">
        <v>108.19376173025015</v>
      </c>
      <c r="AT6" s="36">
        <v>107.5849636079902</v>
      </c>
      <c r="AU6" s="36">
        <v>108.02495767191313</v>
      </c>
      <c r="AV6" s="36">
        <v>107.89755854936055</v>
      </c>
      <c r="AW6" s="36">
        <v>107.55646124219861</v>
      </c>
      <c r="AX6" s="36">
        <v>109.89309042736706</v>
      </c>
      <c r="AY6" s="36">
        <v>110.82075459640545</v>
      </c>
      <c r="AZ6" s="36">
        <v>110.88338849335435</v>
      </c>
      <c r="BA6" s="36">
        <v>109.50055022464184</v>
      </c>
      <c r="BB6" s="36">
        <v>108.29585112888704</v>
      </c>
      <c r="BC6" s="36">
        <v>107.71937437975086</v>
      </c>
      <c r="BD6" s="36">
        <v>109.49675855028099</v>
      </c>
      <c r="BE6" s="36">
        <v>110.18838229658888</v>
      </c>
      <c r="BF6" s="36">
        <v>109.96026301397492</v>
      </c>
      <c r="BG6" s="36">
        <v>108.86930303694757</v>
      </c>
      <c r="BH6" s="36">
        <v>109.48805496519533</v>
      </c>
      <c r="BI6" s="36">
        <v>108.88841999441692</v>
      </c>
      <c r="BJ6" s="36">
        <v>108.77839551246807</v>
      </c>
      <c r="BK6" s="36">
        <v>107.79829303857066</v>
      </c>
      <c r="BL6" s="36">
        <v>105.7109164752588</v>
      </c>
      <c r="BM6" s="36">
        <v>105.40250984897072</v>
      </c>
      <c r="BN6" s="36">
        <v>105.69899315433659</v>
      </c>
      <c r="BO6" s="36">
        <v>105.32025182124802</v>
      </c>
      <c r="BP6" s="36">
        <v>105.16128496039398</v>
      </c>
      <c r="BQ6" s="36">
        <v>106.38382527692589</v>
      </c>
      <c r="BR6" s="36">
        <v>105.67957964781115</v>
      </c>
      <c r="BS6" s="36">
        <v>105.76554815152677</v>
      </c>
      <c r="BT6" s="36">
        <v>105.11665798595234</v>
      </c>
      <c r="BU6" s="36">
        <v>104.76090286419414</v>
      </c>
      <c r="BV6" s="36">
        <v>106.62892836335865</v>
      </c>
      <c r="BW6" s="36">
        <v>105.42989930070669</v>
      </c>
      <c r="BX6" s="36">
        <v>107.6978053434366</v>
      </c>
      <c r="BY6" s="36">
        <v>110.51437102487641</v>
      </c>
      <c r="BZ6" s="36">
        <v>111.59983722859144</v>
      </c>
      <c r="CA6" s="36">
        <v>112.60108385324584</v>
      </c>
      <c r="CB6" s="36">
        <v>112.42666197542279</v>
      </c>
      <c r="CC6" s="36">
        <v>112.35174301586814</v>
      </c>
      <c r="CD6" s="36">
        <v>110.83001832622561</v>
      </c>
      <c r="CE6" s="36">
        <v>109.12351289170648</v>
      </c>
      <c r="CF6" s="36">
        <v>125.45128526855959</v>
      </c>
      <c r="CG6" s="36">
        <v>125.22779681593641</v>
      </c>
      <c r="CH6" s="36">
        <v>126.89042427846911</v>
      </c>
      <c r="CI6" s="36">
        <v>126.92725872343749</v>
      </c>
      <c r="CJ6" s="36">
        <v>126.46781248394892</v>
      </c>
      <c r="CK6" s="36">
        <v>125.85243308241594</v>
      </c>
      <c r="CL6" s="36">
        <v>124.53411357424694</v>
      </c>
      <c r="CM6" s="36">
        <v>125.32424927351234</v>
      </c>
      <c r="CN6" s="36">
        <v>126.70698429733287</v>
      </c>
      <c r="CO6" s="36">
        <v>127.20422517392137</v>
      </c>
      <c r="CP6" s="36">
        <v>127.9489359406484</v>
      </c>
      <c r="CQ6" s="36">
        <v>127.9102382320303</v>
      </c>
      <c r="CR6" s="36">
        <v>128.59713301371355</v>
      </c>
      <c r="CS6" s="36">
        <v>130.52499990617056</v>
      </c>
      <c r="CT6" s="36">
        <v>130.92851293111636</v>
      </c>
      <c r="CU6" s="36">
        <v>128.87823219757448</v>
      </c>
      <c r="CV6" s="36">
        <v>127.99862975766725</v>
      </c>
      <c r="CW6" s="36">
        <v>126.75360947430855</v>
      </c>
      <c r="CX6" s="36">
        <v>126.26460763310244</v>
      </c>
      <c r="CY6" s="36">
        <v>126.76958858411602</v>
      </c>
      <c r="CZ6" s="36">
        <v>126.41956585350282</v>
      </c>
      <c r="DA6" s="36">
        <v>125.18677301435616</v>
      </c>
      <c r="DB6" s="36">
        <v>125.49163667492179</v>
      </c>
      <c r="DC6" s="36">
        <v>125.07742318789171</v>
      </c>
      <c r="DD6" s="36">
        <v>125.78470127289076</v>
      </c>
      <c r="DE6" s="36">
        <v>125.46504981083916</v>
      </c>
      <c r="DF6" s="36">
        <v>125.18502475527966</v>
      </c>
      <c r="DG6" s="36">
        <v>125.23472369905724</v>
      </c>
      <c r="DH6" s="36">
        <v>124.77340837166425</v>
      </c>
      <c r="DI6" s="36">
        <v>123.41838331179042</v>
      </c>
      <c r="DJ6" s="36">
        <v>122.86843134170738</v>
      </c>
      <c r="DK6" s="36">
        <v>122.22184143370011</v>
      </c>
      <c r="DL6" s="36">
        <v>120.61564771556476</v>
      </c>
      <c r="DM6" s="36">
        <v>119.35514185089379</v>
      </c>
      <c r="DN6" s="36">
        <v>122.97753821120556</v>
      </c>
      <c r="DO6" s="36">
        <v>122.98008578965026</v>
      </c>
      <c r="DP6" s="36">
        <v>122.60488699186043</v>
      </c>
      <c r="DQ6" s="36">
        <v>122.77940081306657</v>
      </c>
      <c r="DR6" s="36">
        <v>127.41592108590152</v>
      </c>
    </row>
    <row r="7" spans="1:122" s="35" customFormat="1" x14ac:dyDescent="0.35">
      <c r="B7" s="35">
        <v>104</v>
      </c>
      <c r="C7" s="37">
        <v>1040</v>
      </c>
      <c r="D7" s="34" t="s">
        <v>66</v>
      </c>
      <c r="E7" s="102">
        <v>49.132836897778702</v>
      </c>
      <c r="F7" s="36">
        <v>93.246485266429929</v>
      </c>
      <c r="G7" s="36">
        <v>93.246485266429929</v>
      </c>
      <c r="H7" s="36">
        <v>94.552979083029754</v>
      </c>
      <c r="I7" s="36">
        <v>94.552979083029754</v>
      </c>
      <c r="J7" s="36">
        <v>97.616849668117368</v>
      </c>
      <c r="K7" s="36">
        <v>99.844513740179806</v>
      </c>
      <c r="L7" s="36">
        <v>100.55694489162028</v>
      </c>
      <c r="M7" s="36">
        <v>100.91250471151494</v>
      </c>
      <c r="N7" s="36">
        <v>101.71155673482295</v>
      </c>
      <c r="O7" s="36">
        <v>107.2084236292536</v>
      </c>
      <c r="P7" s="36">
        <v>109.36367132497278</v>
      </c>
      <c r="Q7" s="36">
        <v>107.18660660059889</v>
      </c>
      <c r="R7" s="36">
        <v>106.49988316066458</v>
      </c>
      <c r="S7" s="36">
        <v>107.77229919235971</v>
      </c>
      <c r="T7" s="36">
        <v>108.3440485817064</v>
      </c>
      <c r="U7" s="36">
        <v>107.24784760579152</v>
      </c>
      <c r="V7" s="36">
        <v>107.32564866811443</v>
      </c>
      <c r="W7" s="36">
        <v>106.48727648431741</v>
      </c>
      <c r="X7" s="36">
        <v>102.14010838850329</v>
      </c>
      <c r="Y7" s="36">
        <v>101.39906234935427</v>
      </c>
      <c r="Z7" s="36">
        <v>102.31864165849235</v>
      </c>
      <c r="AA7" s="36">
        <v>103.08794153742188</v>
      </c>
      <c r="AB7" s="36">
        <v>103.08794153742188</v>
      </c>
      <c r="AC7" s="36">
        <v>103.54404999482715</v>
      </c>
      <c r="AD7" s="36">
        <v>104.61591010450987</v>
      </c>
      <c r="AE7" s="36">
        <v>104.39409556471621</v>
      </c>
      <c r="AF7" s="36">
        <v>104.39409556471621</v>
      </c>
      <c r="AG7" s="36">
        <v>102.52382494362925</v>
      </c>
      <c r="AH7" s="36">
        <v>102.58818370870947</v>
      </c>
      <c r="AI7" s="36">
        <v>100.85532276095232</v>
      </c>
      <c r="AJ7" s="36">
        <v>98.553889051689609</v>
      </c>
      <c r="AK7" s="36">
        <v>96.635003332432518</v>
      </c>
      <c r="AL7" s="36">
        <v>97.067979740973016</v>
      </c>
      <c r="AM7" s="36">
        <v>95.79813956650068</v>
      </c>
      <c r="AN7" s="36">
        <v>95.79813956650068</v>
      </c>
      <c r="AO7" s="36">
        <v>95.79813956650068</v>
      </c>
      <c r="AP7" s="36">
        <v>95.193521997090684</v>
      </c>
      <c r="AQ7" s="36">
        <v>95.972637580729085</v>
      </c>
      <c r="AR7" s="36">
        <v>96.286229124782409</v>
      </c>
      <c r="AS7" s="36">
        <v>97.211792364983665</v>
      </c>
      <c r="AT7" s="36">
        <v>97.211792364983665</v>
      </c>
      <c r="AU7" s="36">
        <v>101.39603021830901</v>
      </c>
      <c r="AV7" s="36">
        <v>107.44019800987513</v>
      </c>
      <c r="AW7" s="36">
        <v>108.16326949633138</v>
      </c>
      <c r="AX7" s="36">
        <v>108.16326949633138</v>
      </c>
      <c r="AY7" s="36">
        <v>108.16326949633138</v>
      </c>
      <c r="AZ7" s="36">
        <v>108.16326949633138</v>
      </c>
      <c r="BA7" s="36">
        <v>111.12184988847397</v>
      </c>
      <c r="BB7" s="36">
        <v>113.20310624298725</v>
      </c>
      <c r="BC7" s="36">
        <v>113.39274629397653</v>
      </c>
      <c r="BD7" s="36">
        <v>113.39274629397653</v>
      </c>
      <c r="BE7" s="36">
        <v>114.14883192382534</v>
      </c>
      <c r="BF7" s="36">
        <v>117.16004537039611</v>
      </c>
      <c r="BG7" s="36">
        <v>121.91878837265403</v>
      </c>
      <c r="BH7" s="36">
        <v>128.68919946359625</v>
      </c>
      <c r="BI7" s="36">
        <v>130.13850676201534</v>
      </c>
      <c r="BJ7" s="36">
        <v>140.78135534030645</v>
      </c>
      <c r="BK7" s="36">
        <v>142.06082088436534</v>
      </c>
      <c r="BL7" s="36">
        <v>143.32537156974857</v>
      </c>
      <c r="BM7" s="36">
        <v>142.93263143531655</v>
      </c>
      <c r="BN7" s="36">
        <v>156.29898538594571</v>
      </c>
      <c r="BO7" s="36">
        <v>158.58823575071182</v>
      </c>
      <c r="BP7" s="36">
        <v>159.60506185010067</v>
      </c>
      <c r="BQ7" s="36">
        <v>163.10783727155541</v>
      </c>
      <c r="BR7" s="36">
        <v>169.54990457955469</v>
      </c>
      <c r="BS7" s="36">
        <v>172.56326062223528</v>
      </c>
      <c r="BT7" s="36">
        <v>171.23898684186085</v>
      </c>
      <c r="BU7" s="36">
        <v>172.30032229140505</v>
      </c>
      <c r="BV7" s="36">
        <v>181.54742423598518</v>
      </c>
      <c r="BW7" s="36">
        <v>192.41459875785509</v>
      </c>
      <c r="BX7" s="36">
        <v>190.45536415909098</v>
      </c>
      <c r="BY7" s="36">
        <v>193.25858724071946</v>
      </c>
      <c r="BZ7" s="36">
        <v>190.46422356334284</v>
      </c>
      <c r="CA7" s="36">
        <v>190.46422356334284</v>
      </c>
      <c r="CB7" s="36">
        <v>187.4585267598132</v>
      </c>
      <c r="CC7" s="36">
        <v>175.59318035663244</v>
      </c>
      <c r="CD7" s="36">
        <v>171.41439537158436</v>
      </c>
      <c r="CE7" s="36">
        <v>171.25633715347871</v>
      </c>
      <c r="CF7" s="36">
        <v>160.78459285388655</v>
      </c>
      <c r="CG7" s="36">
        <v>162.16563899732901</v>
      </c>
      <c r="CH7" s="36">
        <v>162.16563899732901</v>
      </c>
      <c r="CI7" s="36">
        <v>160.17486489118329</v>
      </c>
      <c r="CJ7" s="36">
        <v>159.47094098930583</v>
      </c>
      <c r="CK7" s="36">
        <v>157.77821339198775</v>
      </c>
      <c r="CL7" s="36">
        <v>156.23401274475944</v>
      </c>
      <c r="CM7" s="36">
        <v>151.98489127302892</v>
      </c>
      <c r="CN7" s="36">
        <v>152.05901245251408</v>
      </c>
      <c r="CO7" s="36">
        <v>149.60282063791175</v>
      </c>
      <c r="CP7" s="36">
        <v>149.60282063791175</v>
      </c>
      <c r="CQ7" s="36">
        <v>146.84371372076362</v>
      </c>
      <c r="CR7" s="36">
        <v>143.87829285668286</v>
      </c>
      <c r="CS7" s="36">
        <v>144.15569728506557</v>
      </c>
      <c r="CT7" s="36">
        <v>144.90892503351907</v>
      </c>
      <c r="CU7" s="36">
        <v>152.04397204798377</v>
      </c>
      <c r="CV7" s="36">
        <v>151.54111661004575</v>
      </c>
      <c r="CW7" s="36">
        <v>151.37141685957289</v>
      </c>
      <c r="CX7" s="36">
        <v>153.07087929424745</v>
      </c>
      <c r="CY7" s="36">
        <v>153.07087929424745</v>
      </c>
      <c r="CZ7" s="36">
        <v>154.49170100766648</v>
      </c>
      <c r="DA7" s="36">
        <v>156.39831239392709</v>
      </c>
      <c r="DB7" s="36">
        <v>158.05702079360671</v>
      </c>
      <c r="DC7" s="36">
        <v>156.85936741028257</v>
      </c>
      <c r="DD7" s="36">
        <v>166.26559253987949</v>
      </c>
      <c r="DE7" s="36">
        <v>163.21586921880234</v>
      </c>
      <c r="DF7" s="36">
        <v>162.93182291745748</v>
      </c>
      <c r="DG7" s="36">
        <v>164.45712405961837</v>
      </c>
      <c r="DH7" s="36">
        <v>164.45712405961837</v>
      </c>
      <c r="DI7" s="36">
        <v>164.45427389755071</v>
      </c>
      <c r="DJ7" s="36">
        <v>165.28481967693574</v>
      </c>
      <c r="DK7" s="36">
        <v>165.10737693203893</v>
      </c>
      <c r="DL7" s="36">
        <v>163.68897197674053</v>
      </c>
      <c r="DM7" s="36">
        <v>162.36014873368404</v>
      </c>
      <c r="DN7" s="36">
        <v>162.36014873368404</v>
      </c>
      <c r="DO7" s="36">
        <v>160.39322999766344</v>
      </c>
      <c r="DP7" s="36">
        <v>160.3934033169599</v>
      </c>
      <c r="DQ7" s="36">
        <v>160.39322999766344</v>
      </c>
      <c r="DR7" s="36">
        <v>161.7623042281414</v>
      </c>
    </row>
    <row r="8" spans="1:122" s="35" customFormat="1" x14ac:dyDescent="0.35">
      <c r="B8" s="35">
        <v>105</v>
      </c>
      <c r="C8" s="37">
        <v>1050</v>
      </c>
      <c r="D8" s="34" t="s">
        <v>68</v>
      </c>
      <c r="E8" s="102">
        <v>9.8202956193448294</v>
      </c>
      <c r="F8" s="36">
        <v>99.861210653327248</v>
      </c>
      <c r="G8" s="36">
        <v>99.861210653327248</v>
      </c>
      <c r="H8" s="36">
        <v>99.861210653327248</v>
      </c>
      <c r="I8" s="36">
        <v>99.861210653327248</v>
      </c>
      <c r="J8" s="36">
        <v>99.861210653327248</v>
      </c>
      <c r="K8" s="36">
        <v>99.861210653327248</v>
      </c>
      <c r="L8" s="36">
        <v>99.861210653327248</v>
      </c>
      <c r="M8" s="36">
        <v>99.861210653327248</v>
      </c>
      <c r="N8" s="36">
        <v>99.86119134094109</v>
      </c>
      <c r="O8" s="36">
        <v>99.86119134094109</v>
      </c>
      <c r="P8" s="36">
        <v>100.69396604574996</v>
      </c>
      <c r="Q8" s="36">
        <v>100.69396604574996</v>
      </c>
      <c r="R8" s="36">
        <v>109.43317845033017</v>
      </c>
      <c r="S8" s="36">
        <v>110.2104831742467</v>
      </c>
      <c r="T8" s="36">
        <v>113.41055834090686</v>
      </c>
      <c r="U8" s="36">
        <v>112.07201225375152</v>
      </c>
      <c r="V8" s="36">
        <v>110.08068760289309</v>
      </c>
      <c r="W8" s="36">
        <v>108.73816728294383</v>
      </c>
      <c r="X8" s="36">
        <v>109.68911852330862</v>
      </c>
      <c r="Y8" s="36">
        <v>113.69737068761935</v>
      </c>
      <c r="Z8" s="36">
        <v>121.10306829238408</v>
      </c>
      <c r="AA8" s="36">
        <v>119.32109634582096</v>
      </c>
      <c r="AB8" s="36">
        <v>117.25970634959104</v>
      </c>
      <c r="AC8" s="36">
        <v>118.82985845947931</v>
      </c>
      <c r="AD8" s="36">
        <v>119.64947001196832</v>
      </c>
      <c r="AE8" s="36">
        <v>122.4570464718516</v>
      </c>
      <c r="AF8" s="36">
        <v>123.85595051964664</v>
      </c>
      <c r="AG8" s="36">
        <v>122.96040264341889</v>
      </c>
      <c r="AH8" s="36">
        <v>118.39129051078426</v>
      </c>
      <c r="AI8" s="36">
        <v>118.64749064549905</v>
      </c>
      <c r="AJ8" s="36">
        <v>119.72566012794496</v>
      </c>
      <c r="AK8" s="36">
        <v>121.53828824419153</v>
      </c>
      <c r="AL8" s="36">
        <v>121.31443057410785</v>
      </c>
      <c r="AM8" s="36">
        <v>121.5639169707155</v>
      </c>
      <c r="AN8" s="36">
        <v>120.85468475211067</v>
      </c>
      <c r="AO8" s="36">
        <v>121.18820719414431</v>
      </c>
      <c r="AP8" s="36">
        <v>121.06097462435316</v>
      </c>
      <c r="AQ8" s="36">
        <v>120.11196364060521</v>
      </c>
      <c r="AR8" s="36">
        <v>121.20494420939326</v>
      </c>
      <c r="AS8" s="36">
        <v>122.51548668030675</v>
      </c>
      <c r="AT8" s="36">
        <v>122.01748379412666</v>
      </c>
      <c r="AU8" s="36">
        <v>122.01748379412666</v>
      </c>
      <c r="AV8" s="36">
        <v>119.84446850797495</v>
      </c>
      <c r="AW8" s="36">
        <v>120.07758736655813</v>
      </c>
      <c r="AX8" s="36">
        <v>122.51548668030675</v>
      </c>
      <c r="AY8" s="36">
        <v>120.53900286046081</v>
      </c>
      <c r="AZ8" s="36">
        <v>116.58067800658644</v>
      </c>
      <c r="BA8" s="36">
        <v>117.18760445485411</v>
      </c>
      <c r="BB8" s="36">
        <v>121.30141928336521</v>
      </c>
      <c r="BC8" s="36">
        <v>121.31817193406671</v>
      </c>
      <c r="BD8" s="36">
        <v>121.07769406781426</v>
      </c>
      <c r="BE8" s="36">
        <v>120.55102373253187</v>
      </c>
      <c r="BF8" s="36">
        <v>120.06100602638327</v>
      </c>
      <c r="BG8" s="36">
        <v>121.50350375331107</v>
      </c>
      <c r="BH8" s="36">
        <v>119.58949409203092</v>
      </c>
      <c r="BI8" s="36">
        <v>118.3468369731295</v>
      </c>
      <c r="BJ8" s="36">
        <v>118.99676436221255</v>
      </c>
      <c r="BK8" s="36">
        <v>115.70690391823646</v>
      </c>
      <c r="BL8" s="36">
        <v>116.62111029190326</v>
      </c>
      <c r="BM8" s="36">
        <v>115.66785157880226</v>
      </c>
      <c r="BN8" s="36">
        <v>115.75847119136856</v>
      </c>
      <c r="BO8" s="36">
        <v>116.87923912585335</v>
      </c>
      <c r="BP8" s="36">
        <v>121.09485548783704</v>
      </c>
      <c r="BQ8" s="36">
        <v>125.77969540764788</v>
      </c>
      <c r="BR8" s="36">
        <v>124.81767143998093</v>
      </c>
      <c r="BS8" s="36">
        <v>122.36612884286484</v>
      </c>
      <c r="BT8" s="36">
        <v>119.98706287113581</v>
      </c>
      <c r="BU8" s="36">
        <v>119.77528388811075</v>
      </c>
      <c r="BV8" s="36">
        <v>119.98128232813529</v>
      </c>
      <c r="BW8" s="36">
        <v>121.64222498900537</v>
      </c>
      <c r="BX8" s="36">
        <v>121.73457313190656</v>
      </c>
      <c r="BY8" s="36">
        <v>121.67435842580707</v>
      </c>
      <c r="BZ8" s="36">
        <v>122.49706571424863</v>
      </c>
      <c r="CA8" s="36">
        <v>122.87201854515467</v>
      </c>
      <c r="CB8" s="36">
        <v>124.69071018684721</v>
      </c>
      <c r="CC8" s="36">
        <v>125.28046979308749</v>
      </c>
      <c r="CD8" s="36">
        <v>124.5385804777293</v>
      </c>
      <c r="CE8" s="36">
        <v>125.32502286338232</v>
      </c>
      <c r="CF8" s="36">
        <v>124.1880239943619</v>
      </c>
      <c r="CG8" s="36">
        <v>125.23904136056338</v>
      </c>
      <c r="CH8" s="36">
        <v>127.15297694929514</v>
      </c>
      <c r="CI8" s="36">
        <v>126.72893391961006</v>
      </c>
      <c r="CJ8" s="36">
        <v>126.56738484216176</v>
      </c>
      <c r="CK8" s="36">
        <v>125.39179748445949</v>
      </c>
      <c r="CL8" s="36">
        <v>126.18692605663441</v>
      </c>
      <c r="CM8" s="36">
        <v>126.60511820162377</v>
      </c>
      <c r="CN8" s="36">
        <v>127.18862555037505</v>
      </c>
      <c r="CO8" s="36">
        <v>126.89344521752685</v>
      </c>
      <c r="CP8" s="36">
        <v>126.31363614543076</v>
      </c>
      <c r="CQ8" s="36">
        <v>126.31363614543076</v>
      </c>
      <c r="CR8" s="36">
        <v>126.93409692178611</v>
      </c>
      <c r="CS8" s="36">
        <v>127.76370543682907</v>
      </c>
      <c r="CT8" s="36">
        <v>128.91145155320436</v>
      </c>
      <c r="CU8" s="36">
        <v>130.58024351057486</v>
      </c>
      <c r="CV8" s="36">
        <v>129.88474905679885</v>
      </c>
      <c r="CW8" s="36">
        <v>132.49782694934609</v>
      </c>
      <c r="CX8" s="36">
        <v>132.87439068543583</v>
      </c>
      <c r="CY8" s="36">
        <v>133.00541395815623</v>
      </c>
      <c r="CZ8" s="36">
        <v>132.24315624047131</v>
      </c>
      <c r="DA8" s="36">
        <v>132.14902459549032</v>
      </c>
      <c r="DB8" s="36">
        <v>132.15652220136539</v>
      </c>
      <c r="DC8" s="36">
        <v>135.53751934113433</v>
      </c>
      <c r="DD8" s="36">
        <v>134.29104294696805</v>
      </c>
      <c r="DE8" s="36">
        <v>135.90771699153845</v>
      </c>
      <c r="DF8" s="36">
        <v>135.81163204914679</v>
      </c>
      <c r="DG8" s="36">
        <v>136.36243718007626</v>
      </c>
      <c r="DH8" s="36">
        <v>136.64108794882949</v>
      </c>
      <c r="DI8" s="36">
        <v>136.22531154999859</v>
      </c>
      <c r="DJ8" s="36">
        <v>135.97607407878306</v>
      </c>
      <c r="DK8" s="36">
        <v>135.88548387513544</v>
      </c>
      <c r="DL8" s="36">
        <v>135.63163310852437</v>
      </c>
      <c r="DM8" s="36">
        <v>135.19865145274332</v>
      </c>
      <c r="DN8" s="36">
        <v>135.34731479719335</v>
      </c>
      <c r="DO8" s="36">
        <v>135.24357911315238</v>
      </c>
      <c r="DP8" s="36">
        <v>134.98281561600126</v>
      </c>
      <c r="DQ8" s="36">
        <v>134.98281561600126</v>
      </c>
      <c r="DR8" s="36">
        <v>134.50119306423977</v>
      </c>
    </row>
    <row r="9" spans="1:122" s="35" customFormat="1" x14ac:dyDescent="0.35">
      <c r="B9" s="35">
        <v>106</v>
      </c>
      <c r="C9" s="37">
        <v>1061</v>
      </c>
      <c r="D9" s="34" t="s">
        <v>67</v>
      </c>
      <c r="E9" s="102">
        <v>67.623833253878402</v>
      </c>
      <c r="F9" s="36">
        <v>98.735365243475641</v>
      </c>
      <c r="G9" s="36">
        <v>98.679181067346931</v>
      </c>
      <c r="H9" s="36">
        <v>99.219188504437867</v>
      </c>
      <c r="I9" s="36">
        <v>99.264362649692956</v>
      </c>
      <c r="J9" s="36">
        <v>99.278176531138328</v>
      </c>
      <c r="K9" s="36">
        <v>99.435684336436609</v>
      </c>
      <c r="L9" s="36">
        <v>99.416679284847348</v>
      </c>
      <c r="M9" s="36">
        <v>100.15889317780294</v>
      </c>
      <c r="N9" s="36">
        <v>100.4875202923627</v>
      </c>
      <c r="O9" s="36">
        <v>101.15264945990563</v>
      </c>
      <c r="P9" s="36">
        <v>101.98544563020906</v>
      </c>
      <c r="Q9" s="36">
        <v>102.18685382234381</v>
      </c>
      <c r="R9" s="36">
        <v>107.65905683374842</v>
      </c>
      <c r="S9" s="36">
        <v>109.13165676276232</v>
      </c>
      <c r="T9" s="36">
        <v>109.54564791431407</v>
      </c>
      <c r="U9" s="36">
        <v>110.06174396269739</v>
      </c>
      <c r="V9" s="36">
        <v>109.48456701437898</v>
      </c>
      <c r="W9" s="36">
        <v>101.08720994225952</v>
      </c>
      <c r="X9" s="36">
        <v>100.10564911505074</v>
      </c>
      <c r="Y9" s="36">
        <v>99.226022518086083</v>
      </c>
      <c r="Z9" s="36">
        <v>99.044270602443817</v>
      </c>
      <c r="AA9" s="36">
        <v>98.664832210099718</v>
      </c>
      <c r="AB9" s="36">
        <v>99.452725109090437</v>
      </c>
      <c r="AC9" s="36">
        <v>101.11218809071825</v>
      </c>
      <c r="AD9" s="36">
        <v>100.03424540829519</v>
      </c>
      <c r="AE9" s="36">
        <v>100.1599342190685</v>
      </c>
      <c r="AF9" s="36">
        <v>100.60462226621098</v>
      </c>
      <c r="AG9" s="36">
        <v>100.17075421174331</v>
      </c>
      <c r="AH9" s="36">
        <v>100.31849579752526</v>
      </c>
      <c r="AI9" s="36">
        <v>100.31418938182591</v>
      </c>
      <c r="AJ9" s="36">
        <v>100.20503778121305</v>
      </c>
      <c r="AK9" s="36">
        <v>98.869926243921697</v>
      </c>
      <c r="AL9" s="36">
        <v>98.873932868193137</v>
      </c>
      <c r="AM9" s="36">
        <v>98.870401872199494</v>
      </c>
      <c r="AN9" s="36">
        <v>100.28957565365477</v>
      </c>
      <c r="AO9" s="36">
        <v>102.44362672168769</v>
      </c>
      <c r="AP9" s="36">
        <v>102.32830077354016</v>
      </c>
      <c r="AQ9" s="36">
        <v>102.37858870827044</v>
      </c>
      <c r="AR9" s="36">
        <v>102.43869491400443</v>
      </c>
      <c r="AS9" s="36">
        <v>102.56357259638793</v>
      </c>
      <c r="AT9" s="36">
        <v>102.82389880087837</v>
      </c>
      <c r="AU9" s="36">
        <v>102.85811755842597</v>
      </c>
      <c r="AV9" s="36">
        <v>102.84903834579791</v>
      </c>
      <c r="AW9" s="36">
        <v>102.78881851254752</v>
      </c>
      <c r="AX9" s="36">
        <v>103.28515961072192</v>
      </c>
      <c r="AY9" s="36">
        <v>103.53642152413876</v>
      </c>
      <c r="AZ9" s="36">
        <v>104.08815314604824</v>
      </c>
      <c r="BA9" s="36">
        <v>103.98749391810776</v>
      </c>
      <c r="BB9" s="36">
        <v>103.84724767598618</v>
      </c>
      <c r="BC9" s="36">
        <v>102.87145838481977</v>
      </c>
      <c r="BD9" s="36">
        <v>101.35318530814085</v>
      </c>
      <c r="BE9" s="36">
        <v>100.88870873641181</v>
      </c>
      <c r="BF9" s="36">
        <v>101.09431564325357</v>
      </c>
      <c r="BG9" s="36">
        <v>101.60730546296988</v>
      </c>
      <c r="BH9" s="36">
        <v>102.14099304521275</v>
      </c>
      <c r="BI9" s="36">
        <v>101.8274322950133</v>
      </c>
      <c r="BJ9" s="36">
        <v>101.82647274061907</v>
      </c>
      <c r="BK9" s="36">
        <v>104.52686553276808</v>
      </c>
      <c r="BL9" s="36">
        <v>104.52686553276808</v>
      </c>
      <c r="BM9" s="36">
        <v>104.52686553276808</v>
      </c>
      <c r="BN9" s="36">
        <v>104.29640833430422</v>
      </c>
      <c r="BO9" s="36">
        <v>104.29640833430422</v>
      </c>
      <c r="BP9" s="36">
        <v>103.89557921208812</v>
      </c>
      <c r="BQ9" s="36">
        <v>104.42575048183991</v>
      </c>
      <c r="BR9" s="36">
        <v>107.35917559730076</v>
      </c>
      <c r="BS9" s="36">
        <v>107.4528292408278</v>
      </c>
      <c r="BT9" s="36">
        <v>109.92463800627381</v>
      </c>
      <c r="BU9" s="36">
        <v>109.75028100739812</v>
      </c>
      <c r="BV9" s="36">
        <v>111.00375048127566</v>
      </c>
      <c r="BW9" s="36">
        <v>115.13626679880883</v>
      </c>
      <c r="BX9" s="36">
        <v>117.32490521649044</v>
      </c>
      <c r="BY9" s="36">
        <v>123.53025522842896</v>
      </c>
      <c r="BZ9" s="36">
        <v>126.20954923592346</v>
      </c>
      <c r="CA9" s="36">
        <v>126.81502147462302</v>
      </c>
      <c r="CB9" s="36">
        <v>127.48731781865797</v>
      </c>
      <c r="CC9" s="36">
        <v>130.14961081156665</v>
      </c>
      <c r="CD9" s="36">
        <v>130.14961081156665</v>
      </c>
      <c r="CE9" s="36">
        <v>128.1468205675294</v>
      </c>
      <c r="CF9" s="36">
        <v>127.25089176973827</v>
      </c>
      <c r="CG9" s="36">
        <v>127.18674988723745</v>
      </c>
      <c r="CH9" s="36">
        <v>124.68680320983175</v>
      </c>
      <c r="CI9" s="36">
        <v>128.86482872933738</v>
      </c>
      <c r="CJ9" s="36">
        <v>125.16330569904856</v>
      </c>
      <c r="CK9" s="36">
        <v>122.30474489231918</v>
      </c>
      <c r="CL9" s="36">
        <v>120.3355400678158</v>
      </c>
      <c r="CM9" s="36">
        <v>118.86834347424697</v>
      </c>
      <c r="CN9" s="36">
        <v>120.75047637502489</v>
      </c>
      <c r="CO9" s="36">
        <v>117.9905348355729</v>
      </c>
      <c r="CP9" s="36">
        <v>117.45754949270749</v>
      </c>
      <c r="CQ9" s="36">
        <v>115.50347820613747</v>
      </c>
      <c r="CR9" s="36">
        <v>112.61175050972668</v>
      </c>
      <c r="CS9" s="36">
        <v>112.2687912019598</v>
      </c>
      <c r="CT9" s="36">
        <v>112.4964071054082</v>
      </c>
      <c r="CU9" s="36">
        <v>112.35437116785741</v>
      </c>
      <c r="CV9" s="36">
        <v>112.97077364854465</v>
      </c>
      <c r="CW9" s="36">
        <v>112.26037847934349</v>
      </c>
      <c r="CX9" s="36">
        <v>111.29167093518824</v>
      </c>
      <c r="CY9" s="36">
        <v>111.04710283555256</v>
      </c>
      <c r="CZ9" s="36">
        <v>108.53021290656417</v>
      </c>
      <c r="DA9" s="36">
        <v>107.90831336327361</v>
      </c>
      <c r="DB9" s="36">
        <v>108.27717138445149</v>
      </c>
      <c r="DC9" s="36">
        <v>106.67643168956756</v>
      </c>
      <c r="DD9" s="36">
        <v>106.66249969389231</v>
      </c>
      <c r="DE9" s="36">
        <v>106.53858513717469</v>
      </c>
      <c r="DF9" s="36">
        <v>106.1417596816792</v>
      </c>
      <c r="DG9" s="36">
        <v>106.16981358311403</v>
      </c>
      <c r="DH9" s="36">
        <v>107.73615972115066</v>
      </c>
      <c r="DI9" s="36">
        <v>109.48215125242889</v>
      </c>
      <c r="DJ9" s="36">
        <v>108.81156055458159</v>
      </c>
      <c r="DK9" s="36">
        <v>110.74473209922398</v>
      </c>
      <c r="DL9" s="36">
        <v>109.64944143329704</v>
      </c>
      <c r="DM9" s="36">
        <v>111.9575922800223</v>
      </c>
      <c r="DN9" s="36">
        <v>111.66274127944243</v>
      </c>
      <c r="DO9" s="36">
        <v>111.02059622402589</v>
      </c>
      <c r="DP9" s="36">
        <v>110.9779204454907</v>
      </c>
      <c r="DQ9" s="36">
        <v>111.72956970476595</v>
      </c>
      <c r="DR9" s="36">
        <v>113.72666737542687</v>
      </c>
    </row>
    <row r="10" spans="1:122" s="38" customFormat="1" x14ac:dyDescent="0.35">
      <c r="B10" s="35">
        <v>107</v>
      </c>
      <c r="C10" s="37">
        <v>1071</v>
      </c>
      <c r="D10" s="34" t="s">
        <v>70</v>
      </c>
      <c r="E10" s="102">
        <v>14.431745733660501</v>
      </c>
      <c r="F10" s="39">
        <v>98.201419151772043</v>
      </c>
      <c r="G10" s="39">
        <v>98.11758035303086</v>
      </c>
      <c r="H10" s="39">
        <v>98.11758035303086</v>
      </c>
      <c r="I10" s="39">
        <v>98.11758035303086</v>
      </c>
      <c r="J10" s="39">
        <v>98.11758035303086</v>
      </c>
      <c r="K10" s="39">
        <v>99.212507710846836</v>
      </c>
      <c r="L10" s="39">
        <v>101.68596846851132</v>
      </c>
      <c r="M10" s="39">
        <v>101.68596846851132</v>
      </c>
      <c r="N10" s="39">
        <v>101.68596846851132</v>
      </c>
      <c r="O10" s="39">
        <v>101.68596370620678</v>
      </c>
      <c r="P10" s="39">
        <v>101.68594130675844</v>
      </c>
      <c r="Q10" s="39">
        <v>101.68594130675844</v>
      </c>
      <c r="R10" s="39">
        <v>102.08591299695873</v>
      </c>
      <c r="S10" s="39">
        <v>102.96304388537955</v>
      </c>
      <c r="T10" s="39">
        <v>106.8460028714476</v>
      </c>
      <c r="U10" s="39">
        <v>106.8460028714476</v>
      </c>
      <c r="V10" s="39">
        <v>107.33368342023297</v>
      </c>
      <c r="W10" s="39">
        <v>108.34084477412414</v>
      </c>
      <c r="X10" s="39">
        <v>108.34084477412414</v>
      </c>
      <c r="Y10" s="39">
        <v>108.34084477412414</v>
      </c>
      <c r="Z10" s="39">
        <v>108.34084477412414</v>
      </c>
      <c r="AA10" s="39">
        <v>108.34084477412414</v>
      </c>
      <c r="AB10" s="39">
        <v>108.34084477412414</v>
      </c>
      <c r="AC10" s="39">
        <v>108.34084477412414</v>
      </c>
      <c r="AD10" s="39">
        <v>108.34084477412414</v>
      </c>
      <c r="AE10" s="39">
        <v>108.34084477412414</v>
      </c>
      <c r="AF10" s="39">
        <v>108.34084477412414</v>
      </c>
      <c r="AG10" s="39">
        <v>108.34084477412414</v>
      </c>
      <c r="AH10" s="39">
        <v>109.09582927215709</v>
      </c>
      <c r="AI10" s="39">
        <v>109.09582927215709</v>
      </c>
      <c r="AJ10" s="39">
        <v>109.09582927215709</v>
      </c>
      <c r="AK10" s="39">
        <v>109.09582927215709</v>
      </c>
      <c r="AL10" s="39">
        <v>109.09582927215709</v>
      </c>
      <c r="AM10" s="39">
        <v>109.09582927215709</v>
      </c>
      <c r="AN10" s="39">
        <v>109.09582927215709</v>
      </c>
      <c r="AO10" s="39">
        <v>109.09582927215709</v>
      </c>
      <c r="AP10" s="39">
        <v>109.54990572616126</v>
      </c>
      <c r="AQ10" s="39">
        <v>109.54990572616126</v>
      </c>
      <c r="AR10" s="39">
        <v>109.54990572616126</v>
      </c>
      <c r="AS10" s="39">
        <v>109.54990572616126</v>
      </c>
      <c r="AT10" s="39">
        <v>109.54990572616126</v>
      </c>
      <c r="AU10" s="39">
        <v>109.54990572616126</v>
      </c>
      <c r="AV10" s="39">
        <v>109.54990572616126</v>
      </c>
      <c r="AW10" s="39">
        <v>109.54990572616126</v>
      </c>
      <c r="AX10" s="39">
        <v>109.54990572616126</v>
      </c>
      <c r="AY10" s="39">
        <v>109.54990572616126</v>
      </c>
      <c r="AZ10" s="39">
        <v>109.54990572616126</v>
      </c>
      <c r="BA10" s="39">
        <v>109.54990572616126</v>
      </c>
      <c r="BB10" s="39">
        <v>109.54990572616126</v>
      </c>
      <c r="BC10" s="39">
        <v>109.54990572616126</v>
      </c>
      <c r="BD10" s="39">
        <v>109.54990572616126</v>
      </c>
      <c r="BE10" s="39">
        <v>110.10226930516241</v>
      </c>
      <c r="BF10" s="39">
        <v>110.10226930516241</v>
      </c>
      <c r="BG10" s="39">
        <v>110.10226930516241</v>
      </c>
      <c r="BH10" s="39">
        <v>110.10226930516241</v>
      </c>
      <c r="BI10" s="39">
        <v>110.10226930516241</v>
      </c>
      <c r="BJ10" s="39">
        <v>110.10226930516241</v>
      </c>
      <c r="BK10" s="39">
        <v>110.10226930516241</v>
      </c>
      <c r="BL10" s="39">
        <v>110.10226930516241</v>
      </c>
      <c r="BM10" s="39">
        <v>110.10226930516241</v>
      </c>
      <c r="BN10" s="39">
        <v>111.69651279548846</v>
      </c>
      <c r="BO10" s="39">
        <v>111.69651279548846</v>
      </c>
      <c r="BP10" s="39">
        <v>111.69651279548846</v>
      </c>
      <c r="BQ10" s="39">
        <v>113.92814957180242</v>
      </c>
      <c r="BR10" s="39">
        <v>113.99059827337491</v>
      </c>
      <c r="BS10" s="39">
        <v>113.99059827337491</v>
      </c>
      <c r="BT10" s="39">
        <v>116.12440565469261</v>
      </c>
      <c r="BU10" s="39">
        <v>116.12440565469261</v>
      </c>
      <c r="BV10" s="39">
        <v>116.12440565469261</v>
      </c>
      <c r="BW10" s="39">
        <v>116.49659906391609</v>
      </c>
      <c r="BX10" s="39">
        <v>116.86599593519199</v>
      </c>
      <c r="BY10" s="39">
        <v>117.8703502410055</v>
      </c>
      <c r="BZ10" s="39">
        <v>119.50893549552737</v>
      </c>
      <c r="CA10" s="39">
        <v>120.1619236463699</v>
      </c>
      <c r="CB10" s="39">
        <v>120.34287501451672</v>
      </c>
      <c r="CC10" s="39">
        <v>120.46204435965709</v>
      </c>
      <c r="CD10" s="39">
        <v>120.53123916923306</v>
      </c>
      <c r="CE10" s="39">
        <v>120.53123916923306</v>
      </c>
      <c r="CF10" s="39">
        <v>120.53123916923306</v>
      </c>
      <c r="CG10" s="39">
        <v>120.53123916923306</v>
      </c>
      <c r="CH10" s="39">
        <v>120.53123916923306</v>
      </c>
      <c r="CI10" s="39">
        <v>120.53123916923306</v>
      </c>
      <c r="CJ10" s="39">
        <v>120.53123916923306</v>
      </c>
      <c r="CK10" s="39">
        <v>120.11141273750492</v>
      </c>
      <c r="CL10" s="39">
        <v>120.22821683935837</v>
      </c>
      <c r="CM10" s="39">
        <v>120.37549912210967</v>
      </c>
      <c r="CN10" s="39">
        <v>120.49016231998189</v>
      </c>
      <c r="CO10" s="39">
        <v>121.3119285141554</v>
      </c>
      <c r="CP10" s="39">
        <v>121.3119285141554</v>
      </c>
      <c r="CQ10" s="39">
        <v>121.16915900475506</v>
      </c>
      <c r="CR10" s="39">
        <v>120.6103161297617</v>
      </c>
      <c r="CS10" s="39">
        <v>120.6103161297617</v>
      </c>
      <c r="CT10" s="39">
        <v>120.6103161297617</v>
      </c>
      <c r="CU10" s="39">
        <v>120.6103161297617</v>
      </c>
      <c r="CV10" s="39">
        <v>120.6103161297617</v>
      </c>
      <c r="CW10" s="39">
        <v>120.6103161297617</v>
      </c>
      <c r="CX10" s="39">
        <v>121.04940026257393</v>
      </c>
      <c r="CY10" s="39">
        <v>121.04940026257393</v>
      </c>
      <c r="CZ10" s="39">
        <v>121.04940026257393</v>
      </c>
      <c r="DA10" s="39">
        <v>121.04940026257393</v>
      </c>
      <c r="DB10" s="39">
        <v>121.04940026257393</v>
      </c>
      <c r="DC10" s="39">
        <v>121.04940026257393</v>
      </c>
      <c r="DD10" s="39">
        <v>121.04940026257393</v>
      </c>
      <c r="DE10" s="39">
        <v>121.04940026257393</v>
      </c>
      <c r="DF10" s="39">
        <v>120.90129344576842</v>
      </c>
      <c r="DG10" s="39">
        <v>120.1658607668473</v>
      </c>
      <c r="DH10" s="39">
        <v>120.1658607668473</v>
      </c>
      <c r="DI10" s="39">
        <v>120.1658607668473</v>
      </c>
      <c r="DJ10" s="39">
        <v>120.403730214869</v>
      </c>
      <c r="DK10" s="39">
        <v>120.403730214869</v>
      </c>
      <c r="DL10" s="39">
        <v>120.403730214869</v>
      </c>
      <c r="DM10" s="39">
        <v>121.17575028206352</v>
      </c>
      <c r="DN10" s="39">
        <v>121.17575028206352</v>
      </c>
      <c r="DO10" s="39">
        <v>120.88013510076709</v>
      </c>
      <c r="DP10" s="39">
        <v>120.86763433463474</v>
      </c>
      <c r="DQ10" s="39">
        <v>120.88013510076709</v>
      </c>
      <c r="DR10" s="39">
        <v>120.88013510076709</v>
      </c>
    </row>
    <row r="11" spans="1:122" s="38" customFormat="1" x14ac:dyDescent="0.35">
      <c r="C11" s="31" t="s">
        <v>71</v>
      </c>
      <c r="D11" s="34" t="s">
        <v>69</v>
      </c>
      <c r="E11" s="102">
        <v>36.9704815022411</v>
      </c>
      <c r="F11" s="39">
        <v>91.93940838088956</v>
      </c>
      <c r="G11" s="39">
        <v>91.693692936016163</v>
      </c>
      <c r="H11" s="39">
        <v>91.886194692058794</v>
      </c>
      <c r="I11" s="39">
        <v>94.449155818274662</v>
      </c>
      <c r="J11" s="39">
        <v>95.171567471939582</v>
      </c>
      <c r="K11" s="39">
        <v>96.905705731954754</v>
      </c>
      <c r="L11" s="39">
        <v>100.63060370565593</v>
      </c>
      <c r="M11" s="39">
        <v>103.10258339180851</v>
      </c>
      <c r="N11" s="39">
        <v>104.69448552399126</v>
      </c>
      <c r="O11" s="39">
        <v>106.90979879535236</v>
      </c>
      <c r="P11" s="39">
        <v>111.29378562582811</v>
      </c>
      <c r="Q11" s="39">
        <v>111.32301792623034</v>
      </c>
      <c r="R11" s="39">
        <v>111.22074303319793</v>
      </c>
      <c r="S11" s="39">
        <v>110.94244979307229</v>
      </c>
      <c r="T11" s="39">
        <v>111.22538773889075</v>
      </c>
      <c r="U11" s="39">
        <v>107.16658543804486</v>
      </c>
      <c r="V11" s="39">
        <v>100.89874164886614</v>
      </c>
      <c r="W11" s="39">
        <v>94.169101438203214</v>
      </c>
      <c r="X11" s="39">
        <v>80.654044541532457</v>
      </c>
      <c r="Y11" s="39">
        <v>75.244849327369749</v>
      </c>
      <c r="Z11" s="39">
        <v>70.799989459092373</v>
      </c>
      <c r="AA11" s="39">
        <v>73.663621512072581</v>
      </c>
      <c r="AB11" s="39">
        <v>79.603056731482368</v>
      </c>
      <c r="AC11" s="39">
        <v>83.061722960779747</v>
      </c>
      <c r="AD11" s="39">
        <v>86.349611765018253</v>
      </c>
      <c r="AE11" s="39">
        <v>93.41853097590797</v>
      </c>
      <c r="AF11" s="39">
        <v>93.41853097590797</v>
      </c>
      <c r="AG11" s="39">
        <v>87.894448553872138</v>
      </c>
      <c r="AH11" s="39">
        <v>79.607673034764346</v>
      </c>
      <c r="AI11" s="39">
        <v>79.607673034764346</v>
      </c>
      <c r="AJ11" s="39">
        <v>75.740033076074397</v>
      </c>
      <c r="AK11" s="39">
        <v>75.740033076074397</v>
      </c>
      <c r="AL11" s="39">
        <v>75.740033076074397</v>
      </c>
      <c r="AM11" s="39">
        <v>75.740033076074397</v>
      </c>
      <c r="AN11" s="39">
        <v>75.740033076074397</v>
      </c>
      <c r="AO11" s="39">
        <v>69.11100379242059</v>
      </c>
      <c r="AP11" s="39">
        <v>68.006056930802615</v>
      </c>
      <c r="AQ11" s="39">
        <v>68.006056930802615</v>
      </c>
      <c r="AR11" s="39">
        <v>73.530791238892505</v>
      </c>
      <c r="AS11" s="39">
        <v>75.353399559384883</v>
      </c>
      <c r="AT11" s="39">
        <v>73.967951615221622</v>
      </c>
      <c r="AU11" s="39">
        <v>81.44711492219426</v>
      </c>
      <c r="AV11" s="39">
        <v>81.611757317540508</v>
      </c>
      <c r="AW11" s="39">
        <v>79.348593200977177</v>
      </c>
      <c r="AX11" s="39">
        <v>79.137242083236174</v>
      </c>
      <c r="AY11" s="39">
        <v>79.812864272171865</v>
      </c>
      <c r="AZ11" s="39">
        <v>77.350663588674934</v>
      </c>
      <c r="BA11" s="39">
        <v>73.418930616724168</v>
      </c>
      <c r="BB11" s="39">
        <v>71.414257192778479</v>
      </c>
      <c r="BC11" s="39">
        <v>71.206995175050892</v>
      </c>
      <c r="BD11" s="39">
        <v>68.963587805757669</v>
      </c>
      <c r="BE11" s="39">
        <v>69.014236762835665</v>
      </c>
      <c r="BF11" s="39">
        <v>68.678410740860656</v>
      </c>
      <c r="BG11" s="39">
        <v>69.164912492390357</v>
      </c>
      <c r="BH11" s="39">
        <v>74.8724762477582</v>
      </c>
      <c r="BI11" s="39">
        <v>78.106818611943538</v>
      </c>
      <c r="BJ11" s="39">
        <v>76.205825807154781</v>
      </c>
      <c r="BK11" s="39">
        <v>75.69324464216929</v>
      </c>
      <c r="BL11" s="39">
        <v>78.250233392598787</v>
      </c>
      <c r="BM11" s="39">
        <v>77.934881303421719</v>
      </c>
      <c r="BN11" s="39">
        <v>78.127801052255791</v>
      </c>
      <c r="BO11" s="39">
        <v>76.115140474290939</v>
      </c>
      <c r="BP11" s="39">
        <v>69.549290704563575</v>
      </c>
      <c r="BQ11" s="39">
        <v>72.362797337493134</v>
      </c>
      <c r="BR11" s="39">
        <v>79.421286876889909</v>
      </c>
      <c r="BS11" s="39">
        <v>84.68458790500236</v>
      </c>
      <c r="BT11" s="39">
        <v>86.972302826249205</v>
      </c>
      <c r="BU11" s="39">
        <v>90.494353236896643</v>
      </c>
      <c r="BV11" s="39">
        <v>92.806219589366833</v>
      </c>
      <c r="BW11" s="39">
        <v>95.065319162213939</v>
      </c>
      <c r="BX11" s="39">
        <v>95.359748410904587</v>
      </c>
      <c r="BY11" s="39">
        <v>98.348816863016651</v>
      </c>
      <c r="BZ11" s="39">
        <v>101.19694213475367</v>
      </c>
      <c r="CA11" s="39">
        <v>99.917726234018261</v>
      </c>
      <c r="CB11" s="39">
        <v>115.80189418928059</v>
      </c>
      <c r="CC11" s="39">
        <v>122.51551887551049</v>
      </c>
      <c r="CD11" s="39">
        <v>127.19653050218722</v>
      </c>
      <c r="CE11" s="39">
        <v>121.8301553166949</v>
      </c>
      <c r="CF11" s="39">
        <v>127.67538924147547</v>
      </c>
      <c r="CG11" s="39">
        <v>128.64083917708456</v>
      </c>
      <c r="CH11" s="39">
        <v>121.04240035179309</v>
      </c>
      <c r="CI11" s="39">
        <v>126.14741234995057</v>
      </c>
      <c r="CJ11" s="39">
        <v>124.8902207664069</v>
      </c>
      <c r="CK11" s="39">
        <v>130.61494835216723</v>
      </c>
      <c r="CL11" s="39">
        <v>137.02032778644192</v>
      </c>
      <c r="CM11" s="39">
        <v>148.10908732071817</v>
      </c>
      <c r="CN11" s="39">
        <v>147.91598317362948</v>
      </c>
      <c r="CO11" s="39">
        <v>149.780356740196</v>
      </c>
      <c r="CP11" s="39">
        <v>149.22947580383027</v>
      </c>
      <c r="CQ11" s="39">
        <v>149.28897499673798</v>
      </c>
      <c r="CR11" s="39">
        <v>144.31023559593388</v>
      </c>
      <c r="CS11" s="39">
        <v>135.41078142707025</v>
      </c>
      <c r="CT11" s="39">
        <v>117.65250348750226</v>
      </c>
      <c r="CU11" s="39">
        <v>113.26765489387455</v>
      </c>
      <c r="CV11" s="39">
        <v>112.3868230458841</v>
      </c>
      <c r="CW11" s="39">
        <v>111.31104983257094</v>
      </c>
      <c r="CX11" s="39">
        <v>111.31104983257094</v>
      </c>
      <c r="CY11" s="39">
        <v>106.91425638704914</v>
      </c>
      <c r="CZ11" s="39">
        <v>102.30530507353764</v>
      </c>
      <c r="DA11" s="39">
        <v>111.08537989434775</v>
      </c>
      <c r="DB11" s="39">
        <v>117.64328252650192</v>
      </c>
      <c r="DC11" s="39">
        <v>124.18820037849407</v>
      </c>
      <c r="DD11" s="39">
        <v>122.73828216289741</v>
      </c>
      <c r="DE11" s="39">
        <v>120.52118115159792</v>
      </c>
      <c r="DF11" s="39">
        <v>118.21119585938962</v>
      </c>
      <c r="DG11" s="39">
        <v>121.58933845954483</v>
      </c>
      <c r="DH11" s="39">
        <v>122.96295055307824</v>
      </c>
      <c r="DI11" s="39">
        <v>122.40555796215769</v>
      </c>
      <c r="DJ11" s="39">
        <v>128.71905849782783</v>
      </c>
      <c r="DK11" s="39">
        <v>120.55044853927605</v>
      </c>
      <c r="DL11" s="39">
        <v>124.95306983788085</v>
      </c>
      <c r="DM11" s="39">
        <v>122.80345279929492</v>
      </c>
      <c r="DN11" s="39">
        <v>121.83286438839308</v>
      </c>
      <c r="DO11" s="39">
        <v>117.83506440394991</v>
      </c>
      <c r="DP11" s="39">
        <v>116.63670067449021</v>
      </c>
      <c r="DQ11" s="39">
        <v>111.76382853229394</v>
      </c>
      <c r="DR11" s="39">
        <v>112.51351664058559</v>
      </c>
    </row>
    <row r="12" spans="1:122" s="38" customFormat="1" x14ac:dyDescent="0.35">
      <c r="C12" s="31" t="s">
        <v>72</v>
      </c>
      <c r="D12" s="34" t="s">
        <v>73</v>
      </c>
      <c r="E12" s="102">
        <v>2.5251990265486399</v>
      </c>
      <c r="F12" s="39">
        <v>98.653525237944379</v>
      </c>
      <c r="G12" s="39">
        <v>98.921439818160778</v>
      </c>
      <c r="H12" s="39">
        <v>98.513938774557403</v>
      </c>
      <c r="I12" s="39">
        <v>98.485418824846207</v>
      </c>
      <c r="J12" s="39">
        <v>98.652124921925875</v>
      </c>
      <c r="K12" s="39">
        <v>99.233804674632054</v>
      </c>
      <c r="L12" s="39">
        <v>99.245790945267018</v>
      </c>
      <c r="M12" s="39">
        <v>99.21577555160674</v>
      </c>
      <c r="N12" s="39">
        <v>100.98772923314156</v>
      </c>
      <c r="O12" s="39">
        <v>102.69681733930595</v>
      </c>
      <c r="P12" s="39">
        <v>102.69681733930595</v>
      </c>
      <c r="Q12" s="39">
        <v>102.69681733930595</v>
      </c>
      <c r="R12" s="39">
        <v>102.69681733930595</v>
      </c>
      <c r="S12" s="39">
        <v>102.69681733930595</v>
      </c>
      <c r="T12" s="39">
        <v>102.69681733930595</v>
      </c>
      <c r="U12" s="39">
        <v>102.69681733930595</v>
      </c>
      <c r="V12" s="39">
        <v>102.69681733930595</v>
      </c>
      <c r="W12" s="39">
        <v>102.69681733930595</v>
      </c>
      <c r="X12" s="39">
        <v>102.64984082295588</v>
      </c>
      <c r="Y12" s="39">
        <v>102.64984082295588</v>
      </c>
      <c r="Z12" s="39">
        <v>102.64984082295588</v>
      </c>
      <c r="AA12" s="39">
        <v>102.64984082295588</v>
      </c>
      <c r="AB12" s="39">
        <v>102.64984082295588</v>
      </c>
      <c r="AC12" s="39">
        <v>102.64984082295588</v>
      </c>
      <c r="AD12" s="39">
        <v>102.64984082295588</v>
      </c>
      <c r="AE12" s="39">
        <v>102.64984082295588</v>
      </c>
      <c r="AF12" s="39">
        <v>102.64984082295588</v>
      </c>
      <c r="AG12" s="39">
        <v>102.64984082295588</v>
      </c>
      <c r="AH12" s="39">
        <v>102.64984082295588</v>
      </c>
      <c r="AI12" s="39">
        <v>102.64984082295588</v>
      </c>
      <c r="AJ12" s="39">
        <v>102.64984082295588</v>
      </c>
      <c r="AK12" s="39">
        <v>125.182664906862</v>
      </c>
      <c r="AL12" s="39">
        <v>128.96567223199864</v>
      </c>
      <c r="AM12" s="39">
        <v>133.0654362344392</v>
      </c>
      <c r="AN12" s="39">
        <v>133.0654362344392</v>
      </c>
      <c r="AO12" s="39">
        <v>133.0654362344392</v>
      </c>
      <c r="AP12" s="39">
        <v>133.0654362344392</v>
      </c>
      <c r="AQ12" s="39">
        <v>133.0654362344392</v>
      </c>
      <c r="AR12" s="39">
        <v>133.0654362344392</v>
      </c>
      <c r="AS12" s="39">
        <v>133.0654362344392</v>
      </c>
      <c r="AT12" s="39">
        <v>133.0654362344392</v>
      </c>
      <c r="AU12" s="39">
        <v>133.0654362344392</v>
      </c>
      <c r="AV12" s="39">
        <v>133.0654362344392</v>
      </c>
      <c r="AW12" s="39">
        <v>133.0654362344392</v>
      </c>
      <c r="AX12" s="39">
        <v>133.0654362344392</v>
      </c>
      <c r="AY12" s="39">
        <v>133.0654362344392</v>
      </c>
      <c r="AZ12" s="39">
        <v>133.0654362344392</v>
      </c>
      <c r="BA12" s="39">
        <v>133.0654362344392</v>
      </c>
      <c r="BB12" s="39">
        <v>134.40217751822564</v>
      </c>
      <c r="BC12" s="39">
        <v>132.29013263619964</v>
      </c>
      <c r="BD12" s="39">
        <v>132.29013263619964</v>
      </c>
      <c r="BE12" s="39">
        <v>132.29013263619964</v>
      </c>
      <c r="BF12" s="39">
        <v>132.29013263619964</v>
      </c>
      <c r="BG12" s="39">
        <v>132.29013263619964</v>
      </c>
      <c r="BH12" s="39">
        <v>132.29013263619964</v>
      </c>
      <c r="BI12" s="39">
        <v>132.29013263619964</v>
      </c>
      <c r="BJ12" s="39">
        <v>132.29013263619964</v>
      </c>
      <c r="BK12" s="39">
        <v>132.29013263619964</v>
      </c>
      <c r="BL12" s="39">
        <v>132.29013263619964</v>
      </c>
      <c r="BM12" s="39">
        <v>132.29013263619964</v>
      </c>
      <c r="BN12" s="39">
        <v>132.29013263619964</v>
      </c>
      <c r="BO12" s="39">
        <v>132.29013263619964</v>
      </c>
      <c r="BP12" s="39">
        <v>132.29013263619964</v>
      </c>
      <c r="BQ12" s="39">
        <v>132.29013263619964</v>
      </c>
      <c r="BR12" s="39">
        <v>132.29013263619964</v>
      </c>
      <c r="BS12" s="39">
        <v>132.29013263619964</v>
      </c>
      <c r="BT12" s="39">
        <v>132.29013263619964</v>
      </c>
      <c r="BU12" s="39">
        <v>132.29013263619964</v>
      </c>
      <c r="BV12" s="39">
        <v>132.29013263619964</v>
      </c>
      <c r="BW12" s="39">
        <v>132.29013263619964</v>
      </c>
      <c r="BX12" s="39">
        <v>132.29013263619964</v>
      </c>
      <c r="BY12" s="39">
        <v>132.29013263619964</v>
      </c>
      <c r="BZ12" s="39">
        <v>132.29013263619964</v>
      </c>
      <c r="CA12" s="39">
        <v>132.29013263619964</v>
      </c>
      <c r="CB12" s="39">
        <v>153.14736907547402</v>
      </c>
      <c r="CC12" s="39">
        <v>156.051589072166</v>
      </c>
      <c r="CD12" s="39">
        <v>156.051589072166</v>
      </c>
      <c r="CE12" s="39">
        <v>156.051589072166</v>
      </c>
      <c r="CF12" s="39">
        <v>156.051589072166</v>
      </c>
      <c r="CG12" s="39">
        <v>156.051589072166</v>
      </c>
      <c r="CH12" s="39">
        <v>156.051589072166</v>
      </c>
      <c r="CI12" s="39">
        <v>156.051589072166</v>
      </c>
      <c r="CJ12" s="39">
        <v>156.051589072166</v>
      </c>
      <c r="CK12" s="39">
        <v>156.051589072166</v>
      </c>
      <c r="CL12" s="39">
        <v>156.051589072166</v>
      </c>
      <c r="CM12" s="39">
        <v>156.051589072166</v>
      </c>
      <c r="CN12" s="39">
        <v>156.051589072166</v>
      </c>
      <c r="CO12" s="39">
        <v>156.051589072166</v>
      </c>
      <c r="CP12" s="39">
        <v>156.051589072166</v>
      </c>
      <c r="CQ12" s="39">
        <v>156.051589072166</v>
      </c>
      <c r="CR12" s="39">
        <v>156.051589072166</v>
      </c>
      <c r="CS12" s="39">
        <v>156.051589072166</v>
      </c>
      <c r="CT12" s="39">
        <v>157.15259415573763</v>
      </c>
      <c r="CU12" s="39">
        <v>157.15259415573763</v>
      </c>
      <c r="CV12" s="39">
        <v>157.15259415573763</v>
      </c>
      <c r="CW12" s="39">
        <v>157.15259415573763</v>
      </c>
      <c r="CX12" s="39">
        <v>157.15259415573763</v>
      </c>
      <c r="CY12" s="39">
        <v>157.15259415573763</v>
      </c>
      <c r="CZ12" s="39">
        <v>157.15259415573763</v>
      </c>
      <c r="DA12" s="39">
        <v>157.15259415573763</v>
      </c>
      <c r="DB12" s="39">
        <v>157.15259415573763</v>
      </c>
      <c r="DC12" s="39">
        <v>159.77751500625399</v>
      </c>
      <c r="DD12" s="39">
        <v>159.77751500625396</v>
      </c>
      <c r="DE12" s="39">
        <v>159.77751500625396</v>
      </c>
      <c r="DF12" s="39">
        <v>182.91796782016306</v>
      </c>
      <c r="DG12" s="39">
        <v>182.917967820163</v>
      </c>
      <c r="DH12" s="39">
        <v>168.99754272845684</v>
      </c>
      <c r="DI12" s="39">
        <v>170.58555346546206</v>
      </c>
      <c r="DJ12" s="39">
        <v>170.58555346546206</v>
      </c>
      <c r="DK12" s="39">
        <v>170.58555346546206</v>
      </c>
      <c r="DL12" s="39">
        <v>172.48044374227462</v>
      </c>
      <c r="DM12" s="39">
        <v>172.48044374227462</v>
      </c>
      <c r="DN12" s="39">
        <v>172.48044374227462</v>
      </c>
      <c r="DO12" s="39">
        <v>172.48044374227462</v>
      </c>
      <c r="DP12" s="39">
        <v>172.48044374227462</v>
      </c>
      <c r="DQ12" s="39">
        <v>174.58448597639656</v>
      </c>
      <c r="DR12" s="39">
        <v>174.58448597639656</v>
      </c>
    </row>
    <row r="13" spans="1:122" s="38" customFormat="1" x14ac:dyDescent="0.35">
      <c r="C13" s="31" t="s">
        <v>75</v>
      </c>
      <c r="D13" s="34" t="s">
        <v>76</v>
      </c>
      <c r="E13" s="102">
        <v>8.7142195975881709</v>
      </c>
      <c r="F13" s="39">
        <v>99.653714552830792</v>
      </c>
      <c r="G13" s="39">
        <v>99.653714552830792</v>
      </c>
      <c r="H13" s="39">
        <v>99.653714552830792</v>
      </c>
      <c r="I13" s="39">
        <v>99.653714552830792</v>
      </c>
      <c r="J13" s="39">
        <v>99.653714552830792</v>
      </c>
      <c r="K13" s="39">
        <v>99.653714552830792</v>
      </c>
      <c r="L13" s="39">
        <v>99.653714552830792</v>
      </c>
      <c r="M13" s="39">
        <v>99.653714552830792</v>
      </c>
      <c r="N13" s="39">
        <v>99.834254932360338</v>
      </c>
      <c r="O13" s="39">
        <v>100.94724431836522</v>
      </c>
      <c r="P13" s="39">
        <v>100.88160069085139</v>
      </c>
      <c r="Q13" s="39">
        <v>101.10718363577675</v>
      </c>
      <c r="R13" s="39">
        <v>101.29959181891944</v>
      </c>
      <c r="S13" s="39">
        <v>101.30021605190186</v>
      </c>
      <c r="T13" s="39">
        <v>101.69767644367663</v>
      </c>
      <c r="U13" s="39">
        <v>101.69144595622031</v>
      </c>
      <c r="V13" s="39">
        <v>101.71631085573527</v>
      </c>
      <c r="W13" s="39">
        <v>101.21378722318612</v>
      </c>
      <c r="X13" s="39">
        <v>136.26086923535365</v>
      </c>
      <c r="Y13" s="39">
        <v>136.36334938707788</v>
      </c>
      <c r="Z13" s="39">
        <v>136.2374832675319</v>
      </c>
      <c r="AA13" s="39">
        <v>136.33915703960798</v>
      </c>
      <c r="AB13" s="39">
        <v>135.92001176241877</v>
      </c>
      <c r="AC13" s="39">
        <v>135.69168716014931</v>
      </c>
      <c r="AD13" s="39">
        <v>135.64449936774682</v>
      </c>
      <c r="AE13" s="39">
        <v>148.59592764473842</v>
      </c>
      <c r="AF13" s="39">
        <v>147.71838688201794</v>
      </c>
      <c r="AG13" s="39">
        <v>161.11284668036342</v>
      </c>
      <c r="AH13" s="39">
        <v>161.07797118617222</v>
      </c>
      <c r="AI13" s="39">
        <v>160.53934992315908</v>
      </c>
      <c r="AJ13" s="39">
        <v>160.22504360783699</v>
      </c>
      <c r="AK13" s="39">
        <v>159.26300416062961</v>
      </c>
      <c r="AL13" s="39">
        <v>159.56559249496914</v>
      </c>
      <c r="AM13" s="39">
        <v>158.87534826166626</v>
      </c>
      <c r="AN13" s="39">
        <v>160.01613739196031</v>
      </c>
      <c r="AO13" s="39">
        <v>159.24440405688281</v>
      </c>
      <c r="AP13" s="39">
        <v>159.24440405688281</v>
      </c>
      <c r="AQ13" s="39">
        <v>159.24440405688281</v>
      </c>
      <c r="AR13" s="39">
        <v>160.336530378042</v>
      </c>
      <c r="AS13" s="39">
        <v>160.96083075315937</v>
      </c>
      <c r="AT13" s="39">
        <v>160.5445891212473</v>
      </c>
      <c r="AU13" s="39">
        <v>159.84930798585484</v>
      </c>
      <c r="AV13" s="39">
        <v>159.74608809761835</v>
      </c>
      <c r="AW13" s="39">
        <v>159.46372878999753</v>
      </c>
      <c r="AX13" s="39">
        <v>159.46372878999753</v>
      </c>
      <c r="AY13" s="39">
        <v>159.46372878999753</v>
      </c>
      <c r="AZ13" s="39">
        <v>160.18173034884154</v>
      </c>
      <c r="BA13" s="39">
        <v>160.26481424110324</v>
      </c>
      <c r="BB13" s="39">
        <v>160.92230986709623</v>
      </c>
      <c r="BC13" s="39">
        <v>161.15098249671058</v>
      </c>
      <c r="BD13" s="39">
        <v>161.15963944093079</v>
      </c>
      <c r="BE13" s="39">
        <v>161.40227833780773</v>
      </c>
      <c r="BF13" s="39">
        <v>161.39163138625176</v>
      </c>
      <c r="BG13" s="39">
        <v>161.43461627086214</v>
      </c>
      <c r="BH13" s="39">
        <v>161.20392507953528</v>
      </c>
      <c r="BI13" s="39">
        <v>161.18158908293802</v>
      </c>
      <c r="BJ13" s="39">
        <v>160.56530628997893</v>
      </c>
      <c r="BK13" s="39">
        <v>161.95914843980307</v>
      </c>
      <c r="BL13" s="39">
        <v>161.95914843980307</v>
      </c>
      <c r="BM13" s="39">
        <v>161.95914843980307</v>
      </c>
      <c r="BN13" s="39">
        <v>178.84212948821468</v>
      </c>
      <c r="BO13" s="39">
        <v>178.88655725199303</v>
      </c>
      <c r="BP13" s="39">
        <v>175.97149046099017</v>
      </c>
      <c r="BQ13" s="39">
        <v>176.36924991325645</v>
      </c>
      <c r="BR13" s="39">
        <v>176.05731261915273</v>
      </c>
      <c r="BS13" s="39">
        <v>176.60726331542352</v>
      </c>
      <c r="BT13" s="39">
        <v>177.11747354727052</v>
      </c>
      <c r="BU13" s="39">
        <v>177.02618756242825</v>
      </c>
      <c r="BV13" s="39">
        <v>176.19553849384806</v>
      </c>
      <c r="BW13" s="39">
        <v>178.11955646001758</v>
      </c>
      <c r="BX13" s="39">
        <v>177.64998417958509</v>
      </c>
      <c r="BY13" s="39">
        <v>177.95667910540016</v>
      </c>
      <c r="BZ13" s="39">
        <v>178.97032007456798</v>
      </c>
      <c r="CA13" s="39">
        <v>178.24014146295326</v>
      </c>
      <c r="CB13" s="39">
        <v>179.08138069855264</v>
      </c>
      <c r="CC13" s="39">
        <v>178.94112752354454</v>
      </c>
      <c r="CD13" s="39">
        <v>179.33341544094128</v>
      </c>
      <c r="CE13" s="39">
        <v>178.43968541474581</v>
      </c>
      <c r="CF13" s="39">
        <v>177.99657576903346</v>
      </c>
      <c r="CG13" s="39">
        <v>177.66190724080425</v>
      </c>
      <c r="CH13" s="39">
        <v>177.66190724080425</v>
      </c>
      <c r="CI13" s="39">
        <v>177.66190724080425</v>
      </c>
      <c r="CJ13" s="39">
        <v>176.56993578876342</v>
      </c>
      <c r="CK13" s="39">
        <v>176.02053897995219</v>
      </c>
      <c r="CL13" s="39">
        <v>174.77485829196814</v>
      </c>
      <c r="CM13" s="39">
        <v>175.55341467287579</v>
      </c>
      <c r="CN13" s="39">
        <v>175.06746270865335</v>
      </c>
      <c r="CO13" s="39">
        <v>173.23952191674141</v>
      </c>
      <c r="CP13" s="39">
        <v>172.03320736573795</v>
      </c>
      <c r="CQ13" s="39">
        <v>172.03320736573795</v>
      </c>
      <c r="CR13" s="39">
        <v>171.64711073766296</v>
      </c>
      <c r="CS13" s="39">
        <v>171.64711073766296</v>
      </c>
      <c r="CT13" s="39">
        <v>172.44625183006352</v>
      </c>
      <c r="CU13" s="39">
        <v>173.4330897577006</v>
      </c>
      <c r="CV13" s="39">
        <v>171.55455906796854</v>
      </c>
      <c r="CW13" s="39">
        <v>171.23696427455593</v>
      </c>
      <c r="CX13" s="39">
        <v>171.32043370418572</v>
      </c>
      <c r="CY13" s="39">
        <v>172.71391045970373</v>
      </c>
      <c r="CZ13" s="39">
        <v>174.40691401577158</v>
      </c>
      <c r="DA13" s="39">
        <v>174.38840592828899</v>
      </c>
      <c r="DB13" s="39">
        <v>174.47113520921909</v>
      </c>
      <c r="DC13" s="39">
        <v>174.32332655655216</v>
      </c>
      <c r="DD13" s="39">
        <v>174.61986333174164</v>
      </c>
      <c r="DE13" s="39">
        <v>174.96457253605342</v>
      </c>
      <c r="DF13" s="39">
        <v>174.96295856887411</v>
      </c>
      <c r="DG13" s="39">
        <v>168.75859413674613</v>
      </c>
      <c r="DH13" s="39">
        <v>169.19690895983899</v>
      </c>
      <c r="DI13" s="39">
        <v>169.19690895983899</v>
      </c>
      <c r="DJ13" s="39">
        <v>168.65622176571898</v>
      </c>
      <c r="DK13" s="39">
        <v>168.95459581956712</v>
      </c>
      <c r="DL13" s="39">
        <v>170.02185625701708</v>
      </c>
      <c r="DM13" s="39">
        <v>168.47395178529484</v>
      </c>
      <c r="DN13" s="39">
        <v>168.61127369029242</v>
      </c>
      <c r="DO13" s="39">
        <v>168.81519715642398</v>
      </c>
      <c r="DP13" s="39">
        <v>168.81519715642398</v>
      </c>
      <c r="DQ13" s="39">
        <v>168.53767887515332</v>
      </c>
      <c r="DR13" s="39">
        <v>169.28542109155435</v>
      </c>
    </row>
    <row r="14" spans="1:122" s="38" customFormat="1" x14ac:dyDescent="0.35">
      <c r="C14" s="31" t="s">
        <v>78</v>
      </c>
      <c r="D14" s="34" t="s">
        <v>79</v>
      </c>
      <c r="E14" s="102">
        <v>22.7433092031056</v>
      </c>
      <c r="F14" s="39">
        <v>98.021420417600126</v>
      </c>
      <c r="G14" s="39">
        <v>98.11336617516902</v>
      </c>
      <c r="H14" s="39">
        <v>99.084837386800672</v>
      </c>
      <c r="I14" s="39">
        <v>99.062562541524898</v>
      </c>
      <c r="J14" s="39">
        <v>99.456780630032441</v>
      </c>
      <c r="K14" s="39">
        <v>99.550643823609292</v>
      </c>
      <c r="L14" s="39">
        <v>99.009761263633436</v>
      </c>
      <c r="M14" s="39">
        <v>100.73967642612836</v>
      </c>
      <c r="N14" s="39">
        <v>101.84105861323678</v>
      </c>
      <c r="O14" s="39">
        <v>101.35366555537466</v>
      </c>
      <c r="P14" s="39">
        <v>101.90768217443684</v>
      </c>
      <c r="Q14" s="39">
        <v>101.85854499245357</v>
      </c>
      <c r="R14" s="39">
        <v>101.23162659480285</v>
      </c>
      <c r="S14" s="39">
        <v>104.31811056705972</v>
      </c>
      <c r="T14" s="39">
        <v>104.19419133999799</v>
      </c>
      <c r="U14" s="39">
        <v>104.19034779923956</v>
      </c>
      <c r="V14" s="39">
        <v>103.59989183339572</v>
      </c>
      <c r="W14" s="39">
        <v>103.59989183339572</v>
      </c>
      <c r="X14" s="39">
        <v>102.55440792016228</v>
      </c>
      <c r="Y14" s="39">
        <v>105.65740227386318</v>
      </c>
      <c r="Z14" s="39">
        <v>105.28748024610182</v>
      </c>
      <c r="AA14" s="39">
        <v>104.49026350251728</v>
      </c>
      <c r="AB14" s="39">
        <v>104.81310097249684</v>
      </c>
      <c r="AC14" s="39">
        <v>105.44098956575429</v>
      </c>
      <c r="AD14" s="39">
        <v>106.68644590835657</v>
      </c>
      <c r="AE14" s="39">
        <v>106.22439412623147</v>
      </c>
      <c r="AF14" s="39">
        <v>106.11023811034836</v>
      </c>
      <c r="AG14" s="39">
        <v>106.61877109966638</v>
      </c>
      <c r="AH14" s="39">
        <v>107.30472726225746</v>
      </c>
      <c r="AI14" s="39">
        <v>107.10251605590912</v>
      </c>
      <c r="AJ14" s="39">
        <v>107.19745920727669</v>
      </c>
      <c r="AK14" s="39">
        <v>107.06686687949977</v>
      </c>
      <c r="AL14" s="39">
        <v>107.00618574147957</v>
      </c>
      <c r="AM14" s="39">
        <v>108.73542685136933</v>
      </c>
      <c r="AN14" s="39">
        <v>108.63702685474203</v>
      </c>
      <c r="AO14" s="39">
        <v>108.08773576894188</v>
      </c>
      <c r="AP14" s="39">
        <v>107.5481122454632</v>
      </c>
      <c r="AQ14" s="39">
        <v>107.95581686461945</v>
      </c>
      <c r="AR14" s="39">
        <v>107.79424676703545</v>
      </c>
      <c r="AS14" s="39">
        <v>107.95581686461945</v>
      </c>
      <c r="AT14" s="39">
        <v>107.51415463037399</v>
      </c>
      <c r="AU14" s="39">
        <v>108.17263116420332</v>
      </c>
      <c r="AV14" s="39">
        <v>108.01120523161985</v>
      </c>
      <c r="AW14" s="39">
        <v>107.84141504497195</v>
      </c>
      <c r="AX14" s="39">
        <v>107.84141504497195</v>
      </c>
      <c r="AY14" s="39">
        <v>108.25845535862447</v>
      </c>
      <c r="AZ14" s="39">
        <v>108.20662418837507</v>
      </c>
      <c r="BA14" s="39">
        <v>108.15394139573716</v>
      </c>
      <c r="BB14" s="39">
        <v>107.7014700087155</v>
      </c>
      <c r="BC14" s="39">
        <v>107.74141663391183</v>
      </c>
      <c r="BD14" s="39">
        <v>108.67000911224851</v>
      </c>
      <c r="BE14" s="39">
        <v>108.723855558681</v>
      </c>
      <c r="BF14" s="39">
        <v>108.723855558681</v>
      </c>
      <c r="BG14" s="39">
        <v>108.52568620826267</v>
      </c>
      <c r="BH14" s="39">
        <v>108.33245681881677</v>
      </c>
      <c r="BI14" s="39">
        <v>108.33245681881677</v>
      </c>
      <c r="BJ14" s="39">
        <v>108.14393526360617</v>
      </c>
      <c r="BK14" s="39">
        <v>108.14393526360617</v>
      </c>
      <c r="BL14" s="39">
        <v>107.90643330823281</v>
      </c>
      <c r="BM14" s="39">
        <v>107.90643330823281</v>
      </c>
      <c r="BN14" s="39">
        <v>108.30272004294605</v>
      </c>
      <c r="BO14" s="39">
        <v>108.30272004294605</v>
      </c>
      <c r="BP14" s="39">
        <v>107.93841543144129</v>
      </c>
      <c r="BQ14" s="39">
        <v>107.93841543144129</v>
      </c>
      <c r="BR14" s="39">
        <v>108.12311376715596</v>
      </c>
      <c r="BS14" s="39">
        <v>107.8890656844884</v>
      </c>
      <c r="BT14" s="39">
        <v>107.8890656844884</v>
      </c>
      <c r="BU14" s="39">
        <v>107.8890656844884</v>
      </c>
      <c r="BV14" s="39">
        <v>108.44853808578429</v>
      </c>
      <c r="BW14" s="39">
        <v>109.18736478668845</v>
      </c>
      <c r="BX14" s="39">
        <v>109.18736478668845</v>
      </c>
      <c r="BY14" s="39">
        <v>109.62649052754912</v>
      </c>
      <c r="BZ14" s="39">
        <v>109.62649052754912</v>
      </c>
      <c r="CA14" s="39">
        <v>109.62649052754912</v>
      </c>
      <c r="CB14" s="39">
        <v>109.62649052754912</v>
      </c>
      <c r="CC14" s="39">
        <v>109.85469694392127</v>
      </c>
      <c r="CD14" s="39">
        <v>109.85469694392127</v>
      </c>
      <c r="CE14" s="39">
        <v>109.85469694392127</v>
      </c>
      <c r="CF14" s="39">
        <v>111.85106971442613</v>
      </c>
      <c r="CG14" s="39">
        <v>111.85106971442613</v>
      </c>
      <c r="CH14" s="39">
        <v>111.85106971442613</v>
      </c>
      <c r="CI14" s="39">
        <v>111.85106971442613</v>
      </c>
      <c r="CJ14" s="39">
        <v>111.85106971442613</v>
      </c>
      <c r="CK14" s="39">
        <v>111.85106971442613</v>
      </c>
      <c r="CL14" s="39">
        <v>111.85106971442613</v>
      </c>
      <c r="CM14" s="39">
        <v>111.85106971442613</v>
      </c>
      <c r="CN14" s="39">
        <v>111.85106971442613</v>
      </c>
      <c r="CO14" s="39">
        <v>111.85106971442613</v>
      </c>
      <c r="CP14" s="39">
        <v>111.85106971442613</v>
      </c>
      <c r="CQ14" s="39">
        <v>111.85106971442613</v>
      </c>
      <c r="CR14" s="39">
        <v>111.85106971442613</v>
      </c>
      <c r="CS14" s="39">
        <v>111.85106971442613</v>
      </c>
      <c r="CT14" s="39">
        <v>112.05274611271172</v>
      </c>
      <c r="CU14" s="39">
        <v>112.05274611271172</v>
      </c>
      <c r="CV14" s="39">
        <v>112.05274611271172</v>
      </c>
      <c r="CW14" s="39">
        <v>112.05274611271172</v>
      </c>
      <c r="CX14" s="39">
        <v>113.50468632411133</v>
      </c>
      <c r="CY14" s="39">
        <v>113.14801364594612</v>
      </c>
      <c r="CZ14" s="39">
        <v>110.35188539812691</v>
      </c>
      <c r="DA14" s="39">
        <v>110.35188539812691</v>
      </c>
      <c r="DB14" s="39">
        <v>110.35188539812691</v>
      </c>
      <c r="DC14" s="39">
        <v>111.25239968431195</v>
      </c>
      <c r="DD14" s="39">
        <v>111.25239968431195</v>
      </c>
      <c r="DE14" s="39">
        <v>108.13399331924153</v>
      </c>
      <c r="DF14" s="39">
        <v>108.32764324291105</v>
      </c>
      <c r="DG14" s="39">
        <v>108.32764324291105</v>
      </c>
      <c r="DH14" s="39">
        <v>105.05921647837374</v>
      </c>
      <c r="DI14" s="39">
        <v>105.05921647837374</v>
      </c>
      <c r="DJ14" s="39">
        <v>105.97009781343513</v>
      </c>
      <c r="DK14" s="39">
        <v>105.97009781343513</v>
      </c>
      <c r="DL14" s="39">
        <v>105.97009781343513</v>
      </c>
      <c r="DM14" s="39">
        <v>106.06604619029672</v>
      </c>
      <c r="DN14" s="39">
        <v>105.19148767468864</v>
      </c>
      <c r="DO14" s="39">
        <v>105.19148767468864</v>
      </c>
      <c r="DP14" s="39">
        <v>105.19148767468864</v>
      </c>
      <c r="DQ14" s="39">
        <v>105.19148767468864</v>
      </c>
      <c r="DR14" s="39">
        <v>105.19148767468864</v>
      </c>
    </row>
    <row r="15" spans="1:122" s="42" customFormat="1" x14ac:dyDescent="0.35">
      <c r="B15" s="42">
        <v>108</v>
      </c>
      <c r="C15" s="37">
        <v>1080</v>
      </c>
      <c r="D15" s="34" t="s">
        <v>80</v>
      </c>
      <c r="E15" s="102">
        <v>19.404789226877501</v>
      </c>
      <c r="F15" s="41">
        <v>97.562947157252438</v>
      </c>
      <c r="G15" s="41">
        <v>97.562947157252438</v>
      </c>
      <c r="H15" s="41">
        <v>97.562947157252438</v>
      </c>
      <c r="I15" s="41">
        <v>96.869106376172681</v>
      </c>
      <c r="J15" s="41">
        <v>100.92733972978564</v>
      </c>
      <c r="K15" s="41">
        <v>100.92733972978564</v>
      </c>
      <c r="L15" s="41">
        <v>100.92733972978564</v>
      </c>
      <c r="M15" s="41">
        <v>102.40977312826021</v>
      </c>
      <c r="N15" s="41">
        <v>102.44053713827172</v>
      </c>
      <c r="O15" s="41">
        <v>102.44049215474962</v>
      </c>
      <c r="P15" s="41">
        <v>102.44049215474962</v>
      </c>
      <c r="Q15" s="41">
        <v>97.928738386681857</v>
      </c>
      <c r="R15" s="41">
        <v>97.928738386681857</v>
      </c>
      <c r="S15" s="41">
        <v>97.928738386681857</v>
      </c>
      <c r="T15" s="41">
        <v>98.001992863154214</v>
      </c>
      <c r="U15" s="41">
        <v>98.001992863154214</v>
      </c>
      <c r="V15" s="41">
        <v>98.001992863154214</v>
      </c>
      <c r="W15" s="41">
        <v>98.001992863154214</v>
      </c>
      <c r="X15" s="41">
        <v>98.001992863154214</v>
      </c>
      <c r="Y15" s="41">
        <v>98.001992863154214</v>
      </c>
      <c r="Z15" s="41">
        <v>98.001992863154214</v>
      </c>
      <c r="AA15" s="41">
        <v>98.001992863154214</v>
      </c>
      <c r="AB15" s="41">
        <v>98.001992863154214</v>
      </c>
      <c r="AC15" s="41">
        <v>98.001992863154214</v>
      </c>
      <c r="AD15" s="41">
        <v>98.001992863154214</v>
      </c>
      <c r="AE15" s="41">
        <v>98.001992863154214</v>
      </c>
      <c r="AF15" s="41">
        <v>98.001992863154214</v>
      </c>
      <c r="AG15" s="41">
        <v>98.001992863154214</v>
      </c>
      <c r="AH15" s="41">
        <v>98.001992863154214</v>
      </c>
      <c r="AI15" s="41">
        <v>98.001992863154214</v>
      </c>
      <c r="AJ15" s="41">
        <v>98.615214051428595</v>
      </c>
      <c r="AK15" s="41">
        <v>98.615214051428595</v>
      </c>
      <c r="AL15" s="41">
        <v>98.615214051428595</v>
      </c>
      <c r="AM15" s="41">
        <v>98.615214051428595</v>
      </c>
      <c r="AN15" s="41">
        <v>99.616962678860546</v>
      </c>
      <c r="AO15" s="41">
        <v>99.616962678860546</v>
      </c>
      <c r="AP15" s="41">
        <v>99.616962678860546</v>
      </c>
      <c r="AQ15" s="41">
        <v>99.616962678860546</v>
      </c>
      <c r="AR15" s="41">
        <v>99.616962678860546</v>
      </c>
      <c r="AS15" s="41">
        <v>99.616962678860546</v>
      </c>
      <c r="AT15" s="41">
        <v>99.616962678860546</v>
      </c>
      <c r="AU15" s="41">
        <v>99.616962678860546</v>
      </c>
      <c r="AV15" s="41">
        <v>99.616962678860546</v>
      </c>
      <c r="AW15" s="41">
        <v>99.616962678860546</v>
      </c>
      <c r="AX15" s="41">
        <v>99.616962678860546</v>
      </c>
      <c r="AY15" s="41">
        <v>99.616962678860546</v>
      </c>
      <c r="AZ15" s="41">
        <v>99.616962678860546</v>
      </c>
      <c r="BA15" s="41">
        <v>99.616962678860546</v>
      </c>
      <c r="BB15" s="41">
        <v>99.616962678860546</v>
      </c>
      <c r="BC15" s="41">
        <v>99.616962678860546</v>
      </c>
      <c r="BD15" s="41">
        <v>99.616962678860546</v>
      </c>
      <c r="BE15" s="41">
        <v>99.616962678860546</v>
      </c>
      <c r="BF15" s="41">
        <v>99.616962678860546</v>
      </c>
      <c r="BG15" s="41">
        <v>103.24000948879203</v>
      </c>
      <c r="BH15" s="41">
        <v>103.24000948879203</v>
      </c>
      <c r="BI15" s="41">
        <v>103.24000948879203</v>
      </c>
      <c r="BJ15" s="41">
        <v>95.913051687545533</v>
      </c>
      <c r="BK15" s="41">
        <v>95.913051687545533</v>
      </c>
      <c r="BL15" s="41">
        <v>95.913051687545533</v>
      </c>
      <c r="BM15" s="41">
        <v>95.913051687545533</v>
      </c>
      <c r="BN15" s="41">
        <v>95.913051687545533</v>
      </c>
      <c r="BO15" s="41">
        <v>95.913051687545533</v>
      </c>
      <c r="BP15" s="41">
        <v>95.913051687545533</v>
      </c>
      <c r="BQ15" s="41">
        <v>101.05023962976078</v>
      </c>
      <c r="BR15" s="41">
        <v>101.05023962976078</v>
      </c>
      <c r="BS15" s="41">
        <v>104.17186142960776</v>
      </c>
      <c r="BT15" s="41">
        <v>104.17186142960776</v>
      </c>
      <c r="BU15" s="41">
        <v>104.17186142960776</v>
      </c>
      <c r="BV15" s="41">
        <v>96.133617482153056</v>
      </c>
      <c r="BW15" s="41">
        <v>96.133617482153056</v>
      </c>
      <c r="BX15" s="41">
        <v>96.133617482153056</v>
      </c>
      <c r="BY15" s="41">
        <v>105.68166939791074</v>
      </c>
      <c r="BZ15" s="41">
        <v>105.68166939791074</v>
      </c>
      <c r="CA15" s="41">
        <v>105.68166939791074</v>
      </c>
      <c r="CB15" s="41">
        <v>105.68166939791074</v>
      </c>
      <c r="CC15" s="41">
        <v>109.26917188819382</v>
      </c>
      <c r="CD15" s="41">
        <v>109.26917188819382</v>
      </c>
      <c r="CE15" s="41">
        <v>109.26917188819382</v>
      </c>
      <c r="CF15" s="41">
        <v>109.26917188819382</v>
      </c>
      <c r="CG15" s="41">
        <v>109.26917188819382</v>
      </c>
      <c r="CH15" s="41">
        <v>109.26917188819382</v>
      </c>
      <c r="CI15" s="41">
        <v>109.26917188819382</v>
      </c>
      <c r="CJ15" s="41">
        <v>110.24166741025704</v>
      </c>
      <c r="CK15" s="41">
        <v>110.24166741025704</v>
      </c>
      <c r="CL15" s="41">
        <v>109.5765522117847</v>
      </c>
      <c r="CM15" s="41">
        <v>109.5765522117847</v>
      </c>
      <c r="CN15" s="41">
        <v>109.26917188819382</v>
      </c>
      <c r="CO15" s="41">
        <v>110.21559629762058</v>
      </c>
      <c r="CP15" s="41">
        <v>110.21559629762058</v>
      </c>
      <c r="CQ15" s="41">
        <v>110.21559629762058</v>
      </c>
      <c r="CR15" s="41">
        <v>108.91030367889083</v>
      </c>
      <c r="CS15" s="41">
        <v>108.91030367889083</v>
      </c>
      <c r="CT15" s="41">
        <v>108.88698823380867</v>
      </c>
      <c r="CU15" s="41">
        <v>94.946563356028207</v>
      </c>
      <c r="CV15" s="41">
        <v>101.38298826279157</v>
      </c>
      <c r="CW15" s="41">
        <v>101.38298826279157</v>
      </c>
      <c r="CX15" s="41">
        <v>101.38298826279157</v>
      </c>
      <c r="CY15" s="41">
        <v>101.38298826279157</v>
      </c>
      <c r="CZ15" s="41">
        <v>101.38298826279157</v>
      </c>
      <c r="DA15" s="41">
        <v>97.135259687123153</v>
      </c>
      <c r="DB15" s="41">
        <v>95.527390021664743</v>
      </c>
      <c r="DC15" s="41">
        <v>95.527390021664743</v>
      </c>
      <c r="DD15" s="41">
        <v>95.5273900216648</v>
      </c>
      <c r="DE15" s="41">
        <v>95.5273900216648</v>
      </c>
      <c r="DF15" s="41">
        <v>95.527390021664743</v>
      </c>
      <c r="DG15" s="41">
        <v>95.527390021664743</v>
      </c>
      <c r="DH15" s="41">
        <v>95.527390021664743</v>
      </c>
      <c r="DI15" s="41">
        <v>95.527390021664743</v>
      </c>
      <c r="DJ15" s="41">
        <v>95.527390021664743</v>
      </c>
      <c r="DK15" s="41">
        <v>95.527390021664743</v>
      </c>
      <c r="DL15" s="41">
        <v>97.77786846576636</v>
      </c>
      <c r="DM15" s="41">
        <v>97.77786846576636</v>
      </c>
      <c r="DN15" s="41">
        <v>97.77786846576636</v>
      </c>
      <c r="DO15" s="41">
        <v>97.77786846576636</v>
      </c>
      <c r="DP15" s="41">
        <v>97.77786846576636</v>
      </c>
      <c r="DQ15" s="41">
        <v>97.77786846576636</v>
      </c>
      <c r="DR15" s="41">
        <v>97.77786846576636</v>
      </c>
    </row>
    <row r="16" spans="1:122" x14ac:dyDescent="0.35">
      <c r="A16" s="44">
        <v>11</v>
      </c>
      <c r="B16" s="44"/>
      <c r="C16" s="44"/>
      <c r="D16" s="45" t="s">
        <v>13</v>
      </c>
      <c r="E16" s="101">
        <v>74.231219447824927</v>
      </c>
      <c r="F16" s="24">
        <v>99.798181514566096</v>
      </c>
      <c r="G16" s="24">
        <v>99.800340623403997</v>
      </c>
      <c r="H16" s="24">
        <v>99.810262459093508</v>
      </c>
      <c r="I16" s="24">
        <v>99.804865178088221</v>
      </c>
      <c r="J16" s="24">
        <v>99.911136140272518</v>
      </c>
      <c r="K16" s="24">
        <v>99.916540307602546</v>
      </c>
      <c r="L16" s="24">
        <v>100.15783368734328</v>
      </c>
      <c r="M16" s="24">
        <v>100.15729971191293</v>
      </c>
      <c r="N16" s="24">
        <v>100.15776958471258</v>
      </c>
      <c r="O16" s="24">
        <v>100.16401887404581</v>
      </c>
      <c r="P16" s="24">
        <v>100.1606220197324</v>
      </c>
      <c r="Q16" s="24">
        <v>100.16112989922618</v>
      </c>
      <c r="R16" s="24">
        <v>100.15934589501676</v>
      </c>
      <c r="S16" s="24">
        <v>100.166361138646</v>
      </c>
      <c r="T16" s="24">
        <v>100.40532244124564</v>
      </c>
      <c r="U16" s="24">
        <v>100.41005790347469</v>
      </c>
      <c r="V16" s="24">
        <v>100.40664374711103</v>
      </c>
      <c r="W16" s="24">
        <v>100.40680591279816</v>
      </c>
      <c r="X16" s="24">
        <v>100.40830841176039</v>
      </c>
      <c r="Y16" s="24">
        <v>100.41342402074643</v>
      </c>
      <c r="Z16" s="24">
        <v>100.40406471733949</v>
      </c>
      <c r="AA16" s="24">
        <v>100.40664533572321</v>
      </c>
      <c r="AB16" s="24">
        <v>100.40947309108761</v>
      </c>
      <c r="AC16" s="24">
        <v>100.40493116773249</v>
      </c>
      <c r="AD16" s="24">
        <v>100.4053395499174</v>
      </c>
      <c r="AE16" s="24">
        <v>101.4767363183023</v>
      </c>
      <c r="AF16" s="24">
        <v>101.72864352616972</v>
      </c>
      <c r="AG16" s="24">
        <v>101.84098220192315</v>
      </c>
      <c r="AH16" s="24">
        <v>101.84845463973916</v>
      </c>
      <c r="AI16" s="24">
        <v>106.55754965146768</v>
      </c>
      <c r="AJ16" s="24">
        <v>106.55787540277032</v>
      </c>
      <c r="AK16" s="24">
        <v>106.55270653491461</v>
      </c>
      <c r="AL16" s="24">
        <v>106.54955814169072</v>
      </c>
      <c r="AM16" s="24">
        <v>106.34472640251418</v>
      </c>
      <c r="AN16" s="24">
        <v>106.34671134793551</v>
      </c>
      <c r="AO16" s="24">
        <v>106.04140978495018</v>
      </c>
      <c r="AP16" s="24">
        <v>106.03987486179409</v>
      </c>
      <c r="AQ16" s="24">
        <v>106.04067314179073</v>
      </c>
      <c r="AR16" s="24">
        <v>105.91014424718219</v>
      </c>
      <c r="AS16" s="24">
        <v>105.76063804662823</v>
      </c>
      <c r="AT16" s="24">
        <v>105.67985150663179</v>
      </c>
      <c r="AU16" s="24">
        <v>105.78053792999015</v>
      </c>
      <c r="AV16" s="24">
        <v>105.21029648931849</v>
      </c>
      <c r="AW16" s="24">
        <v>105.20912049476689</v>
      </c>
      <c r="AX16" s="24">
        <v>105.49493355658203</v>
      </c>
      <c r="AY16" s="24">
        <v>105.87366457914658</v>
      </c>
      <c r="AZ16" s="24">
        <v>105.87969963201273</v>
      </c>
      <c r="BA16" s="24">
        <v>105.80160205888689</v>
      </c>
      <c r="BB16" s="24">
        <v>104.48691674838631</v>
      </c>
      <c r="BC16" s="24">
        <v>104.48596460325916</v>
      </c>
      <c r="BD16" s="24">
        <v>105.92845213190184</v>
      </c>
      <c r="BE16" s="24">
        <v>105.58400457709931</v>
      </c>
      <c r="BF16" s="24">
        <v>105.58710526809422</v>
      </c>
      <c r="BG16" s="24">
        <v>105.58839023942137</v>
      </c>
      <c r="BH16" s="24">
        <v>106.26648735926427</v>
      </c>
      <c r="BI16" s="24">
        <v>105.51189642172817</v>
      </c>
      <c r="BJ16" s="24">
        <v>105.51686277458418</v>
      </c>
      <c r="BK16" s="24">
        <v>104.50353623822004</v>
      </c>
      <c r="BL16" s="24">
        <v>104.50724641474457</v>
      </c>
      <c r="BM16" s="24">
        <v>104.50304893590486</v>
      </c>
      <c r="BN16" s="24">
        <v>104.50756583905979</v>
      </c>
      <c r="BO16" s="24">
        <v>104.50039156967338</v>
      </c>
      <c r="BP16" s="24">
        <v>104.83578789631586</v>
      </c>
      <c r="BQ16" s="24">
        <v>104.55488453160069</v>
      </c>
      <c r="BR16" s="24">
        <v>103.95927596126823</v>
      </c>
      <c r="BS16" s="24">
        <v>104.10210702419943</v>
      </c>
      <c r="BT16" s="24">
        <v>103.77535916081882</v>
      </c>
      <c r="BU16" s="24">
        <v>103.66529376748876</v>
      </c>
      <c r="BV16" s="24">
        <v>103.57937817629143</v>
      </c>
      <c r="BW16" s="24">
        <v>103.74456257429237</v>
      </c>
      <c r="BX16" s="24">
        <v>105.99741582040323</v>
      </c>
      <c r="BY16" s="24">
        <v>105.99741582040323</v>
      </c>
      <c r="BZ16" s="24">
        <v>106.11750645960829</v>
      </c>
      <c r="CA16" s="24">
        <v>106.97110022184307</v>
      </c>
      <c r="CB16" s="24">
        <v>107.39905082629103</v>
      </c>
      <c r="CC16" s="24">
        <v>108.11215069030739</v>
      </c>
      <c r="CD16" s="24">
        <v>108.4049735607985</v>
      </c>
      <c r="CE16" s="24">
        <v>109.47504887733028</v>
      </c>
      <c r="CF16" s="24">
        <v>109.4564173957011</v>
      </c>
      <c r="CG16" s="24">
        <v>110.02361048968839</v>
      </c>
      <c r="CH16" s="24">
        <v>110.02361048968839</v>
      </c>
      <c r="CI16" s="24">
        <v>110.33175468710284</v>
      </c>
      <c r="CJ16" s="24">
        <v>110.43601336198869</v>
      </c>
      <c r="CK16" s="24">
        <v>110.42674564303276</v>
      </c>
      <c r="CL16" s="24">
        <v>110.50710689800741</v>
      </c>
      <c r="CM16" s="24">
        <v>111.91425743679237</v>
      </c>
      <c r="CN16" s="24">
        <v>112.29345201712873</v>
      </c>
      <c r="CO16" s="24">
        <v>112.36951090973406</v>
      </c>
      <c r="CP16" s="24">
        <v>111.90124339158508</v>
      </c>
      <c r="CQ16" s="24">
        <v>111.90124339158508</v>
      </c>
      <c r="CR16" s="24">
        <v>111.90124339158508</v>
      </c>
      <c r="CS16" s="24">
        <v>113.01371218857609</v>
      </c>
      <c r="CT16" s="24">
        <v>112.58465629325713</v>
      </c>
      <c r="CU16" s="24">
        <v>113.23559227564006</v>
      </c>
      <c r="CV16" s="24">
        <v>112.47204009243683</v>
      </c>
      <c r="CW16" s="24">
        <v>112.47204009243683</v>
      </c>
      <c r="CX16" s="24">
        <v>112.31893846319511</v>
      </c>
      <c r="CY16" s="24">
        <v>113.20879690031931</v>
      </c>
      <c r="CZ16" s="24">
        <v>112.35464902174125</v>
      </c>
      <c r="DA16" s="24">
        <v>112.35464902174125</v>
      </c>
      <c r="DB16" s="24">
        <v>112.35464902174125</v>
      </c>
      <c r="DC16" s="24">
        <v>112.99876962733514</v>
      </c>
      <c r="DD16" s="24">
        <v>112.86230607532413</v>
      </c>
      <c r="DE16" s="24">
        <v>112.86230607532413</v>
      </c>
      <c r="DF16" s="24">
        <v>112.8623060753241</v>
      </c>
      <c r="DG16" s="24">
        <v>113.37275621694378</v>
      </c>
      <c r="DH16" s="24">
        <v>113.37275621694378</v>
      </c>
      <c r="DI16" s="24">
        <v>113.37275621694378</v>
      </c>
      <c r="DJ16" s="24">
        <v>113.37275621694378</v>
      </c>
      <c r="DK16" s="24">
        <v>113.21965458770207</v>
      </c>
      <c r="DL16" s="24">
        <v>113.21965458770207</v>
      </c>
      <c r="DM16" s="24">
        <v>113.31872143225341</v>
      </c>
      <c r="DN16" s="24">
        <v>112.86090521939988</v>
      </c>
      <c r="DO16" s="24">
        <v>112.44600231582316</v>
      </c>
      <c r="DP16" s="24">
        <v>112.89616565664382</v>
      </c>
      <c r="DQ16" s="24">
        <v>113.19409959565864</v>
      </c>
      <c r="DR16" s="24">
        <v>113.19409959565864</v>
      </c>
    </row>
    <row r="17" spans="1:122" s="42" customFormat="1" x14ac:dyDescent="0.35">
      <c r="B17" s="42">
        <v>110</v>
      </c>
      <c r="C17" s="31" t="s">
        <v>81</v>
      </c>
      <c r="D17" s="40" t="s">
        <v>74</v>
      </c>
      <c r="E17" s="102">
        <v>19.781824999422501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  <c r="O17" s="41">
        <v>100</v>
      </c>
      <c r="P17" s="41">
        <v>100</v>
      </c>
      <c r="Q17" s="41">
        <v>100</v>
      </c>
      <c r="R17" s="41">
        <v>100</v>
      </c>
      <c r="S17" s="41">
        <v>100</v>
      </c>
      <c r="T17" s="41">
        <v>100</v>
      </c>
      <c r="U17" s="41">
        <v>100</v>
      </c>
      <c r="V17" s="41">
        <v>100</v>
      </c>
      <c r="W17" s="41">
        <v>100</v>
      </c>
      <c r="X17" s="41">
        <v>100</v>
      </c>
      <c r="Y17" s="41">
        <v>100</v>
      </c>
      <c r="Z17" s="41">
        <v>100</v>
      </c>
      <c r="AA17" s="41">
        <v>100</v>
      </c>
      <c r="AB17" s="41">
        <v>100</v>
      </c>
      <c r="AC17" s="41">
        <v>100</v>
      </c>
      <c r="AD17" s="41">
        <v>100</v>
      </c>
      <c r="AE17" s="41">
        <v>100</v>
      </c>
      <c r="AF17" s="41">
        <v>100</v>
      </c>
      <c r="AG17" s="41">
        <v>100</v>
      </c>
      <c r="AH17" s="41">
        <v>100</v>
      </c>
      <c r="AI17" s="41">
        <v>100</v>
      </c>
      <c r="AJ17" s="41">
        <v>100</v>
      </c>
      <c r="AK17" s="41">
        <v>100</v>
      </c>
      <c r="AL17" s="41">
        <v>100</v>
      </c>
      <c r="AM17" s="41">
        <v>100</v>
      </c>
      <c r="AN17" s="41">
        <v>100</v>
      </c>
      <c r="AO17" s="41">
        <v>98.856704674939735</v>
      </c>
      <c r="AP17" s="41">
        <v>98.856704674939735</v>
      </c>
      <c r="AQ17" s="41">
        <v>98.856704674939735</v>
      </c>
      <c r="AR17" s="41">
        <v>98.856704674939735</v>
      </c>
      <c r="AS17" s="41">
        <v>98.299713781079831</v>
      </c>
      <c r="AT17" s="41">
        <v>98.299713781079831</v>
      </c>
      <c r="AU17" s="41">
        <v>98.299713781079831</v>
      </c>
      <c r="AV17" s="41">
        <v>96.383627070099948</v>
      </c>
      <c r="AW17" s="41">
        <v>96.383627070099948</v>
      </c>
      <c r="AX17" s="41">
        <v>96.383627070099948</v>
      </c>
      <c r="AY17" s="41">
        <v>97.803405714285901</v>
      </c>
      <c r="AZ17" s="41">
        <v>97.803405714285901</v>
      </c>
      <c r="BA17" s="41">
        <v>97.803405714285901</v>
      </c>
      <c r="BB17" s="41">
        <v>92.860096575687365</v>
      </c>
      <c r="BC17" s="41">
        <v>92.860096575687365</v>
      </c>
      <c r="BD17" s="41">
        <v>98.753720338107897</v>
      </c>
      <c r="BE17" s="41">
        <v>97.438811752300609</v>
      </c>
      <c r="BF17" s="41">
        <v>97.438811752300609</v>
      </c>
      <c r="BG17" s="41">
        <v>97.438811752300609</v>
      </c>
      <c r="BH17" s="41">
        <v>99.976765982106841</v>
      </c>
      <c r="BI17" s="41">
        <v>97.154829959604101</v>
      </c>
      <c r="BJ17" s="41">
        <v>97.154829959604101</v>
      </c>
      <c r="BK17" s="41">
        <v>93.343468563335932</v>
      </c>
      <c r="BL17" s="41">
        <v>93.343468563335932</v>
      </c>
      <c r="BM17" s="41">
        <v>93.343468563335932</v>
      </c>
      <c r="BN17" s="41">
        <v>93.343468563335932</v>
      </c>
      <c r="BO17" s="41">
        <v>93.343468563335932</v>
      </c>
      <c r="BP17" s="41">
        <v>94.603111677159774</v>
      </c>
      <c r="BQ17" s="41">
        <v>90.546458551992743</v>
      </c>
      <c r="BR17" s="41">
        <v>88.277132563041519</v>
      </c>
      <c r="BS17" s="41">
        <v>88.763245549713872</v>
      </c>
      <c r="BT17" s="41">
        <v>88.763245549713872</v>
      </c>
      <c r="BU17" s="41">
        <v>88.350225600031123</v>
      </c>
      <c r="BV17" s="41">
        <v>88.027827686575449</v>
      </c>
      <c r="BW17" s="41">
        <v>88.027827686575449</v>
      </c>
      <c r="BX17" s="41">
        <v>87.480521452892773</v>
      </c>
      <c r="BY17" s="41">
        <v>87.480521452892773</v>
      </c>
      <c r="BZ17" s="41">
        <v>87.778349634447849</v>
      </c>
      <c r="CA17" s="41">
        <v>91.09743492958151</v>
      </c>
      <c r="CB17" s="41">
        <v>92.703317866698441</v>
      </c>
      <c r="CC17" s="41">
        <v>95.379222263565666</v>
      </c>
      <c r="CD17" s="41">
        <v>96.478038917711686</v>
      </c>
      <c r="CE17" s="41">
        <v>96.478038917711686</v>
      </c>
      <c r="CF17" s="41">
        <v>96.408124357174586</v>
      </c>
      <c r="CG17" s="41">
        <v>96.408124357174586</v>
      </c>
      <c r="CH17" s="41">
        <v>96.408124357174586</v>
      </c>
      <c r="CI17" s="41">
        <v>97.841634097947377</v>
      </c>
      <c r="CJ17" s="41">
        <v>98.232864359817441</v>
      </c>
      <c r="CK17" s="41">
        <v>97.931309070894372</v>
      </c>
      <c r="CL17" s="41">
        <v>98.232864359817427</v>
      </c>
      <c r="CM17" s="41">
        <v>100.11920035662639</v>
      </c>
      <c r="CN17" s="41">
        <v>101.54212650763594</v>
      </c>
      <c r="CO17" s="41">
        <v>101.82753719892006</v>
      </c>
      <c r="CP17" s="41">
        <v>100.07036520386799</v>
      </c>
      <c r="CQ17" s="41">
        <v>100.07036520386799</v>
      </c>
      <c r="CR17" s="41">
        <v>100.07036520386799</v>
      </c>
      <c r="CS17" s="41">
        <v>100.37850718806062</v>
      </c>
      <c r="CT17" s="41">
        <v>98.768476651356607</v>
      </c>
      <c r="CU17" s="41">
        <v>98.393922490839174</v>
      </c>
      <c r="CV17" s="41">
        <v>98.231252318669647</v>
      </c>
      <c r="CW17" s="41">
        <v>98.231252318669647</v>
      </c>
      <c r="CX17" s="41">
        <v>97.656739065297288</v>
      </c>
      <c r="CY17" s="41">
        <v>97.656739065297288</v>
      </c>
      <c r="CZ17" s="41">
        <v>97.656739065297288</v>
      </c>
      <c r="DA17" s="41">
        <v>97.656739065297288</v>
      </c>
      <c r="DB17" s="41">
        <v>97.656739065297288</v>
      </c>
      <c r="DC17" s="41">
        <v>98.231252318669647</v>
      </c>
      <c r="DD17" s="41">
        <v>98.231252318669647</v>
      </c>
      <c r="DE17" s="41">
        <v>98.231252318669647</v>
      </c>
      <c r="DF17" s="41">
        <v>98.231252318669647</v>
      </c>
      <c r="DG17" s="41">
        <v>98.231252318669647</v>
      </c>
      <c r="DH17" s="41">
        <v>98.231252318669647</v>
      </c>
      <c r="DI17" s="41">
        <v>98.231252318669647</v>
      </c>
      <c r="DJ17" s="41">
        <v>98.231252318669647</v>
      </c>
      <c r="DK17" s="41">
        <v>97.656739065297288</v>
      </c>
      <c r="DL17" s="41">
        <v>97.656739065297288</v>
      </c>
      <c r="DM17" s="41">
        <v>98.028487004534867</v>
      </c>
      <c r="DN17" s="41">
        <v>96.31053349093871</v>
      </c>
      <c r="DO17" s="41">
        <v>94.753611999324974</v>
      </c>
      <c r="DP17" s="41">
        <v>96.442848141126802</v>
      </c>
      <c r="DQ17" s="41">
        <v>97.560844059532243</v>
      </c>
      <c r="DR17" s="41">
        <v>97.560844059532243</v>
      </c>
    </row>
    <row r="18" spans="1:122" s="42" customFormat="1" x14ac:dyDescent="0.35">
      <c r="C18" s="31" t="s">
        <v>82</v>
      </c>
      <c r="D18" s="40" t="s">
        <v>83</v>
      </c>
      <c r="E18" s="102">
        <v>0.50833952855763298</v>
      </c>
      <c r="F18" s="47">
        <v>99.302220105689514</v>
      </c>
      <c r="G18" s="47">
        <v>99.617507965386011</v>
      </c>
      <c r="H18" s="47">
        <v>101.06636236488902</v>
      </c>
      <c r="I18" s="47">
        <v>100.27821442789602</v>
      </c>
      <c r="J18" s="47">
        <v>99.392863284565408</v>
      </c>
      <c r="K18" s="47">
        <v>100.18201680986</v>
      </c>
      <c r="L18" s="47">
        <v>99.758669469623314</v>
      </c>
      <c r="M18" s="47">
        <v>99.680694720223613</v>
      </c>
      <c r="N18" s="47">
        <v>99.726869607766716</v>
      </c>
      <c r="O18" s="47">
        <v>100.63943363599502</v>
      </c>
      <c r="P18" s="47">
        <v>100.14049178304303</v>
      </c>
      <c r="Q18" s="47">
        <v>100.21465582506201</v>
      </c>
      <c r="R18" s="47">
        <v>99.954143312211286</v>
      </c>
      <c r="S18" s="47">
        <v>100.97855723256649</v>
      </c>
      <c r="T18" s="47">
        <v>101.43256634385891</v>
      </c>
      <c r="U18" s="47">
        <v>102.12407097051775</v>
      </c>
      <c r="V18" s="47">
        <v>101.62551247560845</v>
      </c>
      <c r="W18" s="47">
        <v>101.64919301987678</v>
      </c>
      <c r="X18" s="47">
        <v>101.86859820857165</v>
      </c>
      <c r="Y18" s="47">
        <v>102.61561446821482</v>
      </c>
      <c r="Z18" s="47">
        <v>103.06302795042488</v>
      </c>
      <c r="AA18" s="47">
        <v>103.43986752081099</v>
      </c>
      <c r="AB18" s="47">
        <v>103.85279572569533</v>
      </c>
      <c r="AC18" s="47">
        <v>103.18955297090713</v>
      </c>
      <c r="AD18" s="47">
        <v>103.24918773445252</v>
      </c>
      <c r="AE18" s="47">
        <v>102.97568358597432</v>
      </c>
      <c r="AF18" s="47">
        <v>103.42638966517491</v>
      </c>
      <c r="AG18" s="47">
        <v>103.15118049663202</v>
      </c>
      <c r="AH18" s="47">
        <v>104.24235704334963</v>
      </c>
      <c r="AI18" s="47">
        <v>104.57737045651621</v>
      </c>
      <c r="AJ18" s="47">
        <v>104.62493889271379</v>
      </c>
      <c r="AK18" s="47">
        <v>103.87014540816565</v>
      </c>
      <c r="AL18" s="47">
        <v>103.41039546706952</v>
      </c>
      <c r="AM18" s="47">
        <v>101.86050757997683</v>
      </c>
      <c r="AN18" s="47">
        <v>102.15036290478501</v>
      </c>
      <c r="AO18" s="47">
        <v>102.05900806393586</v>
      </c>
      <c r="AP18" s="47">
        <v>101.83486807238656</v>
      </c>
      <c r="AQ18" s="47">
        <v>101.95143838471466</v>
      </c>
      <c r="AR18" s="47">
        <v>101.79377046228011</v>
      </c>
      <c r="AS18" s="47">
        <v>101.63692412426414</v>
      </c>
      <c r="AT18" s="47">
        <v>101.42874768901197</v>
      </c>
      <c r="AU18" s="47">
        <v>100.43172144239247</v>
      </c>
      <c r="AV18" s="47">
        <v>100.68618367576543</v>
      </c>
      <c r="AW18" s="47">
        <v>100.514456897253</v>
      </c>
      <c r="AX18" s="47">
        <v>100.83848031076826</v>
      </c>
      <c r="AY18" s="47">
        <v>100.89327237182083</v>
      </c>
      <c r="AZ18" s="47">
        <v>101.77455212387375</v>
      </c>
      <c r="BA18" s="47">
        <v>101.89934007033395</v>
      </c>
      <c r="BB18" s="47">
        <v>102.2868419232008</v>
      </c>
      <c r="BC18" s="47">
        <v>102.14780317073624</v>
      </c>
      <c r="BD18" s="47">
        <v>101.54083503088624</v>
      </c>
      <c r="BE18" s="47">
        <v>102.41137426894016</v>
      </c>
      <c r="BF18" s="47">
        <v>102.86415840386287</v>
      </c>
      <c r="BG18" s="47">
        <v>103.05179871749279</v>
      </c>
      <c r="BH18" s="47">
        <v>103.30873266043319</v>
      </c>
      <c r="BI18" s="47">
        <v>102.93268297291618</v>
      </c>
      <c r="BJ18" s="47">
        <v>103.65790383023597</v>
      </c>
      <c r="BK18" s="47">
        <v>104.00259403734449</v>
      </c>
      <c r="BL18" s="47">
        <v>104.54437942350992</v>
      </c>
      <c r="BM18" s="47">
        <v>103.93143481587241</v>
      </c>
      <c r="BN18" s="47">
        <v>104.59102394967718</v>
      </c>
      <c r="BO18" s="47">
        <v>103.54338799913035</v>
      </c>
      <c r="BP18" s="47">
        <v>103.50175969125742</v>
      </c>
      <c r="BQ18" s="47">
        <v>103.67502630811627</v>
      </c>
      <c r="BR18" s="47">
        <v>105.01007710112751</v>
      </c>
      <c r="BS18" s="47">
        <v>106.95035891810687</v>
      </c>
      <c r="BT18" s="47">
        <v>106.23974325426035</v>
      </c>
      <c r="BU18" s="47">
        <v>106.23974325426035</v>
      </c>
      <c r="BV18" s="47">
        <v>106.23974325426035</v>
      </c>
      <c r="BW18" s="47">
        <v>106.23974325426035</v>
      </c>
      <c r="BX18" s="47">
        <v>106.23974325426035</v>
      </c>
      <c r="BY18" s="47">
        <v>106.23974325426035</v>
      </c>
      <c r="BZ18" s="47">
        <v>112.18633889599394</v>
      </c>
      <c r="CA18" s="47">
        <v>112.18633889599394</v>
      </c>
      <c r="CB18" s="47">
        <v>112.18633889599394</v>
      </c>
      <c r="CC18" s="47">
        <v>112.18633889599394</v>
      </c>
      <c r="CD18" s="47">
        <v>112.18633889599394</v>
      </c>
      <c r="CE18" s="47">
        <v>112.18633889599394</v>
      </c>
      <c r="CF18" s="47">
        <v>112.18633889599394</v>
      </c>
      <c r="CG18" s="47">
        <v>112.18633889599394</v>
      </c>
      <c r="CH18" s="47">
        <v>112.18633889599394</v>
      </c>
      <c r="CI18" s="47">
        <v>112.18633889599394</v>
      </c>
      <c r="CJ18" s="47">
        <v>112.18633889599394</v>
      </c>
      <c r="CK18" s="47">
        <v>112.18633889599394</v>
      </c>
      <c r="CL18" s="47">
        <v>112.18633889599394</v>
      </c>
      <c r="CM18" s="47">
        <v>112.18633889599394</v>
      </c>
      <c r="CN18" s="47">
        <v>112.18633889599394</v>
      </c>
      <c r="CO18" s="47">
        <v>112.18633889599394</v>
      </c>
      <c r="CP18" s="47">
        <v>112.18633889599394</v>
      </c>
      <c r="CQ18" s="47">
        <v>112.18633889599394</v>
      </c>
      <c r="CR18" s="47">
        <v>112.18633889599394</v>
      </c>
      <c r="CS18" s="47">
        <v>112.18633889599394</v>
      </c>
      <c r="CT18" s="47">
        <v>112.18633889599394</v>
      </c>
      <c r="CU18" s="47">
        <v>112.18633889599394</v>
      </c>
      <c r="CV18" s="47">
        <v>112.18633889599394</v>
      </c>
      <c r="CW18" s="47">
        <v>112.18633889599394</v>
      </c>
      <c r="CX18" s="47">
        <v>112.18633889599394</v>
      </c>
      <c r="CY18" s="47">
        <v>112.18633889599394</v>
      </c>
      <c r="CZ18" s="47">
        <v>112.18633889599394</v>
      </c>
      <c r="DA18" s="47">
        <v>112.18633889599394</v>
      </c>
      <c r="DB18" s="47">
        <v>112.18633889599394</v>
      </c>
      <c r="DC18" s="47">
        <v>112.18633889599394</v>
      </c>
      <c r="DD18" s="47">
        <v>112.18633889599394</v>
      </c>
      <c r="DE18" s="47">
        <v>112.18633889599394</v>
      </c>
      <c r="DF18" s="47">
        <v>112.18633889599394</v>
      </c>
      <c r="DG18" s="47">
        <v>112.18633889599394</v>
      </c>
      <c r="DH18" s="47">
        <v>112.18633889599394</v>
      </c>
      <c r="DI18" s="47">
        <v>112.18633889599394</v>
      </c>
      <c r="DJ18" s="47">
        <v>112.18633889599394</v>
      </c>
      <c r="DK18" s="47">
        <v>112.18633889599394</v>
      </c>
      <c r="DL18" s="47">
        <v>112.18633889599394</v>
      </c>
      <c r="DM18" s="47">
        <v>112.18633889599394</v>
      </c>
      <c r="DN18" s="47">
        <v>112.18633889599394</v>
      </c>
      <c r="DO18" s="47">
        <v>112.18633889599394</v>
      </c>
      <c r="DP18" s="47">
        <v>112.18633889599394</v>
      </c>
      <c r="DQ18" s="47">
        <v>112.18633889599394</v>
      </c>
      <c r="DR18" s="47">
        <v>112.18633889599394</v>
      </c>
    </row>
    <row r="19" spans="1:122" s="42" customFormat="1" x14ac:dyDescent="0.35">
      <c r="C19" s="31" t="s">
        <v>85</v>
      </c>
      <c r="D19" s="40" t="s">
        <v>77</v>
      </c>
      <c r="E19" s="102">
        <v>41.148818960555197</v>
      </c>
      <c r="F19" s="41">
        <v>99.86489605104309</v>
      </c>
      <c r="G19" s="41">
        <v>99.86489605104309</v>
      </c>
      <c r="H19" s="41">
        <v>99.86489605104309</v>
      </c>
      <c r="I19" s="41">
        <v>99.86489605104309</v>
      </c>
      <c r="J19" s="41">
        <v>100.06754298741411</v>
      </c>
      <c r="K19" s="41">
        <v>100.06754298741411</v>
      </c>
      <c r="L19" s="41">
        <v>100.06754298741411</v>
      </c>
      <c r="M19" s="41">
        <v>100.06754298741411</v>
      </c>
      <c r="N19" s="41">
        <v>100.06754298741411</v>
      </c>
      <c r="O19" s="41">
        <v>100.06754298741411</v>
      </c>
      <c r="P19" s="41">
        <v>100.06757893567153</v>
      </c>
      <c r="Q19" s="41">
        <v>100.06757893567153</v>
      </c>
      <c r="R19" s="41">
        <v>100.06757893567153</v>
      </c>
      <c r="S19" s="41">
        <v>100.06757893567153</v>
      </c>
      <c r="T19" s="41">
        <v>100.06757893567153</v>
      </c>
      <c r="U19" s="41">
        <v>100.06757893567153</v>
      </c>
      <c r="V19" s="41">
        <v>100.06757893567153</v>
      </c>
      <c r="W19" s="41">
        <v>100.06757893567153</v>
      </c>
      <c r="X19" s="41">
        <v>100.06757893567153</v>
      </c>
      <c r="Y19" s="41">
        <v>100.06757893567153</v>
      </c>
      <c r="Z19" s="41">
        <v>100.06757893567153</v>
      </c>
      <c r="AA19" s="41">
        <v>100.06757893567153</v>
      </c>
      <c r="AB19" s="41">
        <v>100.06757893567153</v>
      </c>
      <c r="AC19" s="41">
        <v>100.06757893567153</v>
      </c>
      <c r="AD19" s="41">
        <v>100.06757893567153</v>
      </c>
      <c r="AE19" s="41">
        <v>102.00372494452631</v>
      </c>
      <c r="AF19" s="41">
        <v>102.45259001473843</v>
      </c>
      <c r="AG19" s="41">
        <v>102.45259001473843</v>
      </c>
      <c r="AH19" s="41">
        <v>102.45259001473843</v>
      </c>
      <c r="AI19" s="41">
        <v>110.9435157200592</v>
      </c>
      <c r="AJ19" s="41">
        <v>110.9435157200592</v>
      </c>
      <c r="AK19" s="41">
        <v>110.9435157200592</v>
      </c>
      <c r="AL19" s="41">
        <v>110.9435157200592</v>
      </c>
      <c r="AM19" s="41">
        <v>110.9435157200592</v>
      </c>
      <c r="AN19" s="41">
        <v>110.9435157200592</v>
      </c>
      <c r="AO19" s="41">
        <v>110.9435157200592</v>
      </c>
      <c r="AP19" s="41">
        <v>110.9435157200592</v>
      </c>
      <c r="AQ19" s="41">
        <v>110.9435157200592</v>
      </c>
      <c r="AR19" s="41">
        <v>110.9435157200592</v>
      </c>
      <c r="AS19" s="41">
        <v>110.9435157200592</v>
      </c>
      <c r="AT19" s="41">
        <v>110.9435157200592</v>
      </c>
      <c r="AU19" s="41">
        <v>110.9435157200592</v>
      </c>
      <c r="AV19" s="41">
        <v>110.9435157200592</v>
      </c>
      <c r="AW19" s="41">
        <v>110.9435157200592</v>
      </c>
      <c r="AX19" s="41">
        <v>110.9435157200592</v>
      </c>
      <c r="AY19" s="41">
        <v>110.9435157200592</v>
      </c>
      <c r="AZ19" s="41">
        <v>110.9435157200592</v>
      </c>
      <c r="BA19" s="41">
        <v>110.9435157200592</v>
      </c>
      <c r="BB19" s="41">
        <v>110.9435157200592</v>
      </c>
      <c r="BC19" s="41">
        <v>110.9435157200592</v>
      </c>
      <c r="BD19" s="41">
        <v>110.9435157200592</v>
      </c>
      <c r="BE19" s="41">
        <v>110.9435157200592</v>
      </c>
      <c r="BF19" s="41">
        <v>110.9435157200592</v>
      </c>
      <c r="BG19" s="41">
        <v>110.9435157200592</v>
      </c>
      <c r="BH19" s="41">
        <v>110.9435157200592</v>
      </c>
      <c r="BI19" s="41">
        <v>110.9435157200592</v>
      </c>
      <c r="BJ19" s="41">
        <v>110.9435157200592</v>
      </c>
      <c r="BK19" s="41">
        <v>110.9435157200592</v>
      </c>
      <c r="BL19" s="41">
        <v>110.9435157200592</v>
      </c>
      <c r="BM19" s="41">
        <v>110.9435157200592</v>
      </c>
      <c r="BN19" s="41">
        <v>110.9435157200592</v>
      </c>
      <c r="BO19" s="41">
        <v>110.9435157200592</v>
      </c>
      <c r="BP19" s="41">
        <v>110.9435157200592</v>
      </c>
      <c r="BQ19" s="41">
        <v>112.38482378486985</v>
      </c>
      <c r="BR19" s="41">
        <v>112.38482378486985</v>
      </c>
      <c r="BS19" s="41">
        <v>112.38482378486985</v>
      </c>
      <c r="BT19" s="41">
        <v>111.80415928652612</v>
      </c>
      <c r="BU19" s="41">
        <v>111.80415928652612</v>
      </c>
      <c r="BV19" s="41">
        <v>111.80415928652612</v>
      </c>
      <c r="BW19" s="41">
        <v>112.10214692279628</v>
      </c>
      <c r="BX19" s="41">
        <v>116.09344884819667</v>
      </c>
      <c r="BY19" s="41">
        <v>116.09344884819667</v>
      </c>
      <c r="BZ19" s="41">
        <v>116.09344884819667</v>
      </c>
      <c r="CA19" s="41">
        <v>116.09344884819667</v>
      </c>
      <c r="CB19" s="41">
        <v>116.09344884819667</v>
      </c>
      <c r="CC19" s="41">
        <v>116.09344884819667</v>
      </c>
      <c r="CD19" s="41">
        <v>116.09344884819667</v>
      </c>
      <c r="CE19" s="41">
        <v>118.02383221407929</v>
      </c>
      <c r="CF19" s="41">
        <v>118.02383221407932</v>
      </c>
      <c r="CG19" s="41">
        <v>119.04703132629253</v>
      </c>
      <c r="CH19" s="41">
        <v>119.04703132629253</v>
      </c>
      <c r="CI19" s="41">
        <v>119.04703132629253</v>
      </c>
      <c r="CJ19" s="41">
        <v>119.04703132629253</v>
      </c>
      <c r="CK19" s="41">
        <v>119.04703132629253</v>
      </c>
      <c r="CL19" s="41">
        <v>119.04703132629253</v>
      </c>
      <c r="CM19" s="41">
        <v>120.6786536561107</v>
      </c>
      <c r="CN19" s="41">
        <v>120.6786536561107</v>
      </c>
      <c r="CO19" s="41">
        <v>120.6786536561107</v>
      </c>
      <c r="CP19" s="41">
        <v>120.6786536561107</v>
      </c>
      <c r="CQ19" s="41">
        <v>120.6786536561107</v>
      </c>
      <c r="CR19" s="41">
        <v>120.6786536561107</v>
      </c>
      <c r="CS19" s="41">
        <v>122.53737783153214</v>
      </c>
      <c r="CT19" s="41">
        <v>122.53737783153214</v>
      </c>
      <c r="CU19" s="41">
        <v>123.89170920770934</v>
      </c>
      <c r="CV19" s="41">
        <v>122.59248609163421</v>
      </c>
      <c r="CW19" s="41">
        <v>122.59248609163421</v>
      </c>
      <c r="CX19" s="41">
        <v>122.59248609163421</v>
      </c>
      <c r="CY19" s="41">
        <v>124.19776368142328</v>
      </c>
      <c r="CZ19" s="41">
        <v>122.65690685448976</v>
      </c>
      <c r="DA19" s="41">
        <v>122.65690685448976</v>
      </c>
      <c r="DB19" s="41">
        <v>122.65690685448976</v>
      </c>
      <c r="DC19" s="41">
        <v>123.63867653242494</v>
      </c>
      <c r="DD19" s="41">
        <v>123.39250042988188</v>
      </c>
      <c r="DE19" s="41">
        <v>123.39250042988188</v>
      </c>
      <c r="DF19" s="41">
        <v>123.39250042988186</v>
      </c>
      <c r="DG19" s="41">
        <v>124.31333697967604</v>
      </c>
      <c r="DH19" s="41">
        <v>124.31333697967604</v>
      </c>
      <c r="DI19" s="41">
        <v>124.31333697967604</v>
      </c>
      <c r="DJ19" s="41">
        <v>124.31333697967604</v>
      </c>
      <c r="DK19" s="41">
        <v>124.31333697967604</v>
      </c>
      <c r="DL19" s="41">
        <v>124.31333697967604</v>
      </c>
      <c r="DM19" s="41">
        <v>124.31333697967604</v>
      </c>
      <c r="DN19" s="41">
        <v>124.31333697967604</v>
      </c>
      <c r="DO19" s="41">
        <v>124.31333697967604</v>
      </c>
      <c r="DP19" s="41">
        <v>124.31333697967604</v>
      </c>
      <c r="DQ19" s="41">
        <v>124.31333697967604</v>
      </c>
      <c r="DR19" s="41">
        <v>124.31333697967604</v>
      </c>
    </row>
    <row r="20" spans="1:122" s="42" customFormat="1" x14ac:dyDescent="0.35">
      <c r="C20" s="31" t="s">
        <v>87</v>
      </c>
      <c r="D20" s="40" t="s">
        <v>88</v>
      </c>
      <c r="E20" s="102">
        <v>12.7922359592896</v>
      </c>
      <c r="F20" s="41">
        <v>99.291198562101869</v>
      </c>
      <c r="G20" s="41">
        <v>99.291198562101869</v>
      </c>
      <c r="H20" s="41">
        <v>99.291198562101869</v>
      </c>
      <c r="I20" s="41">
        <v>99.291198562101869</v>
      </c>
      <c r="J20" s="41">
        <v>99.291198562101869</v>
      </c>
      <c r="K20" s="41">
        <v>99.291198562101869</v>
      </c>
      <c r="L20" s="41">
        <v>100.70820697782223</v>
      </c>
      <c r="M20" s="41">
        <v>100.70820697782223</v>
      </c>
      <c r="N20" s="41">
        <v>100.70909866793602</v>
      </c>
      <c r="O20" s="41">
        <v>100.70909866793602</v>
      </c>
      <c r="P20" s="41">
        <v>100.70909866793602</v>
      </c>
      <c r="Q20" s="41">
        <v>100.70909866793602</v>
      </c>
      <c r="R20" s="41">
        <v>100.70909866793602</v>
      </c>
      <c r="S20" s="41">
        <v>100.70909866793602</v>
      </c>
      <c r="T20" s="41">
        <v>102.07770992330488</v>
      </c>
      <c r="U20" s="41">
        <v>102.07770992330488</v>
      </c>
      <c r="V20" s="41">
        <v>102.07770992330488</v>
      </c>
      <c r="W20" s="41">
        <v>102.07770992330488</v>
      </c>
      <c r="X20" s="41">
        <v>102.07770992330488</v>
      </c>
      <c r="Y20" s="41">
        <v>102.07770992330488</v>
      </c>
      <c r="Z20" s="41">
        <v>102.0056200660954</v>
      </c>
      <c r="AA20" s="41">
        <v>102.0056200660954</v>
      </c>
      <c r="AB20" s="41">
        <v>102.0056200660954</v>
      </c>
      <c r="AC20" s="41">
        <v>102.0056200660954</v>
      </c>
      <c r="AD20" s="41">
        <v>102.0056200660954</v>
      </c>
      <c r="AE20" s="41">
        <v>102.0056200660954</v>
      </c>
      <c r="AF20" s="41">
        <v>102.0056200660954</v>
      </c>
      <c r="AG20" s="41">
        <v>102.6684390305287</v>
      </c>
      <c r="AH20" s="41">
        <v>102.6684390305287</v>
      </c>
      <c r="AI20" s="41">
        <v>102.6684390305287</v>
      </c>
      <c r="AJ20" s="41">
        <v>102.6684390305287</v>
      </c>
      <c r="AK20" s="41">
        <v>102.6684390305287</v>
      </c>
      <c r="AL20" s="41">
        <v>102.6684390305287</v>
      </c>
      <c r="AM20" s="41">
        <v>101.54142413268502</v>
      </c>
      <c r="AN20" s="41">
        <v>101.54142413268502</v>
      </c>
      <c r="AO20" s="41">
        <v>101.54142413268502</v>
      </c>
      <c r="AP20" s="41">
        <v>101.54142413268502</v>
      </c>
      <c r="AQ20" s="41">
        <v>101.54142413268502</v>
      </c>
      <c r="AR20" s="41">
        <v>100.79025207697937</v>
      </c>
      <c r="AS20" s="41">
        <v>100.79025207697937</v>
      </c>
      <c r="AT20" s="41">
        <v>100.32973375268479</v>
      </c>
      <c r="AU20" s="41">
        <v>100.95362029334086</v>
      </c>
      <c r="AV20" s="41">
        <v>100.59751532884022</v>
      </c>
      <c r="AW20" s="41">
        <v>100.59751532884022</v>
      </c>
      <c r="AX20" s="41">
        <v>102.24316494555943</v>
      </c>
      <c r="AY20" s="41">
        <v>102.24316494555943</v>
      </c>
      <c r="AZ20" s="41">
        <v>102.24316494555943</v>
      </c>
      <c r="BA20" s="41">
        <v>101.7850188674562</v>
      </c>
      <c r="BB20" s="41">
        <v>101.7850188674562</v>
      </c>
      <c r="BC20" s="41">
        <v>101.7850188674562</v>
      </c>
      <c r="BD20" s="41">
        <v>101.06579513499577</v>
      </c>
      <c r="BE20" s="41">
        <v>101.06579513499577</v>
      </c>
      <c r="BF20" s="41">
        <v>101.06579513499577</v>
      </c>
      <c r="BG20" s="41">
        <v>101.06579513499577</v>
      </c>
      <c r="BH20" s="41">
        <v>101.06579513499577</v>
      </c>
      <c r="BI20" s="41">
        <v>101.06579513499577</v>
      </c>
      <c r="BJ20" s="41">
        <v>101.06579513499577</v>
      </c>
      <c r="BK20" s="41">
        <v>101.06579513499577</v>
      </c>
      <c r="BL20" s="41">
        <v>101.06579513499577</v>
      </c>
      <c r="BM20" s="41">
        <v>101.06579513499577</v>
      </c>
      <c r="BN20" s="41">
        <v>101.06579513499577</v>
      </c>
      <c r="BO20" s="41">
        <v>101.06579513499577</v>
      </c>
      <c r="BP20" s="41">
        <v>101.06579513499577</v>
      </c>
      <c r="BQ20" s="41">
        <v>101.06579513499577</v>
      </c>
      <c r="BR20" s="41">
        <v>101.06579513499577</v>
      </c>
      <c r="BS20" s="41">
        <v>101.06579513499577</v>
      </c>
      <c r="BT20" s="41">
        <v>101.06579513499577</v>
      </c>
      <c r="BU20" s="41">
        <v>101.06579513499577</v>
      </c>
      <c r="BV20" s="41">
        <v>101.06579513499577</v>
      </c>
      <c r="BW20" s="41">
        <v>101.06579513499577</v>
      </c>
      <c r="BX20" s="41">
        <v>102.14624733509378</v>
      </c>
      <c r="BY20" s="41">
        <v>102.14624733509378</v>
      </c>
      <c r="BZ20" s="41">
        <v>102.14624733509378</v>
      </c>
      <c r="CA20" s="41">
        <v>101.96689959713407</v>
      </c>
      <c r="CB20" s="41">
        <v>101.96689959713407</v>
      </c>
      <c r="CC20" s="41">
        <v>101.96689959713407</v>
      </c>
      <c r="CD20" s="41">
        <v>101.96689959713407</v>
      </c>
      <c r="CE20" s="41">
        <v>101.96689959713407</v>
      </c>
      <c r="CF20" s="41">
        <v>101.96689959713407</v>
      </c>
      <c r="CG20" s="41">
        <v>101.96689959713407</v>
      </c>
      <c r="CH20" s="41">
        <v>101.96689959713407</v>
      </c>
      <c r="CI20" s="41">
        <v>101.53823964241303</v>
      </c>
      <c r="CJ20" s="41">
        <v>101.53823964241303</v>
      </c>
      <c r="CK20" s="41">
        <v>101.95078361754936</v>
      </c>
      <c r="CL20" s="41">
        <v>101.95078361754936</v>
      </c>
      <c r="CM20" s="41">
        <v>101.95078361754936</v>
      </c>
      <c r="CN20" s="41">
        <v>101.95078361754936</v>
      </c>
      <c r="CO20" s="41">
        <v>101.95078361754936</v>
      </c>
      <c r="CP20" s="41">
        <v>101.95078361754936</v>
      </c>
      <c r="CQ20" s="41">
        <v>101.95078361754936</v>
      </c>
      <c r="CR20" s="41">
        <v>101.95078361754936</v>
      </c>
      <c r="CS20" s="41">
        <v>101.95078361754936</v>
      </c>
      <c r="CT20" s="41">
        <v>101.95078361754936</v>
      </c>
      <c r="CU20" s="41">
        <v>101.95078361754936</v>
      </c>
      <c r="CV20" s="41">
        <v>101.95078361754936</v>
      </c>
      <c r="CW20" s="41">
        <v>101.95078361754936</v>
      </c>
      <c r="CX20" s="41">
        <v>101.95078361754936</v>
      </c>
      <c r="CY20" s="41">
        <v>101.95078361754936</v>
      </c>
      <c r="CZ20" s="41">
        <v>101.95078361754936</v>
      </c>
      <c r="DA20" s="41">
        <v>101.95078361754936</v>
      </c>
      <c r="DB20" s="41">
        <v>101.95078361754936</v>
      </c>
      <c r="DC20" s="41">
        <v>101.64202404148759</v>
      </c>
      <c r="DD20" s="41">
        <v>101.64202404148759</v>
      </c>
      <c r="DE20" s="41">
        <v>101.64202404148759</v>
      </c>
      <c r="DF20" s="41">
        <v>101.64202404148759</v>
      </c>
      <c r="DG20" s="41">
        <v>101.64202404148759</v>
      </c>
      <c r="DH20" s="41">
        <v>101.64202404148759</v>
      </c>
      <c r="DI20" s="41">
        <v>101.64202404148759</v>
      </c>
      <c r="DJ20" s="41">
        <v>101.64202404148759</v>
      </c>
      <c r="DK20" s="41">
        <v>101.64202404148759</v>
      </c>
      <c r="DL20" s="41">
        <v>101.64202404148759</v>
      </c>
      <c r="DM20" s="41">
        <v>101.64202404148759</v>
      </c>
      <c r="DN20" s="41">
        <v>101.64202404148759</v>
      </c>
      <c r="DO20" s="41">
        <v>101.64202404148759</v>
      </c>
      <c r="DP20" s="41">
        <v>101.64202404148759</v>
      </c>
      <c r="DQ20" s="41">
        <v>101.64202404148759</v>
      </c>
      <c r="DR20" s="41">
        <v>101.64202404148759</v>
      </c>
    </row>
    <row r="21" spans="1:122" x14ac:dyDescent="0.35">
      <c r="A21" s="44">
        <v>12</v>
      </c>
      <c r="B21" s="44"/>
      <c r="C21" s="44"/>
      <c r="D21" s="45" t="s">
        <v>14</v>
      </c>
      <c r="E21" s="103">
        <v>9.4042110357968607</v>
      </c>
      <c r="F21" s="48">
        <v>98.541101105867824</v>
      </c>
      <c r="G21" s="48">
        <v>98.514339815129915</v>
      </c>
      <c r="H21" s="48">
        <v>98.59088707600371</v>
      </c>
      <c r="I21" s="48">
        <v>99.117170363984485</v>
      </c>
      <c r="J21" s="48">
        <v>100.30271891401475</v>
      </c>
      <c r="K21" s="48">
        <v>100.65408133536782</v>
      </c>
      <c r="L21" s="48">
        <v>100.75940672189508</v>
      </c>
      <c r="M21" s="48">
        <v>100.53439395684367</v>
      </c>
      <c r="N21" s="48">
        <v>100.66195171016692</v>
      </c>
      <c r="O21" s="48">
        <v>100.84512586070902</v>
      </c>
      <c r="P21" s="48">
        <v>100.89070968571154</v>
      </c>
      <c r="Q21" s="48">
        <v>100.5881134543054</v>
      </c>
      <c r="R21" s="48">
        <v>102.45028537591219</v>
      </c>
      <c r="S21" s="48">
        <v>102.49293710121472</v>
      </c>
      <c r="T21" s="48">
        <v>102.43454265829749</v>
      </c>
      <c r="U21" s="48">
        <v>102.7940894190164</v>
      </c>
      <c r="V21" s="48">
        <v>102.80294231557961</v>
      </c>
      <c r="W21" s="48">
        <v>102.6559185619258</v>
      </c>
      <c r="X21" s="48">
        <v>102.81424167046247</v>
      </c>
      <c r="Y21" s="48">
        <v>102.79079273812364</v>
      </c>
      <c r="Z21" s="48">
        <v>103.00285638349328</v>
      </c>
      <c r="AA21" s="48">
        <v>103.34989535386541</v>
      </c>
      <c r="AB21" s="48">
        <v>103.62496803683113</v>
      </c>
      <c r="AC21" s="48">
        <v>104.66769563149091</v>
      </c>
      <c r="AD21" s="48">
        <v>103.93545336544521</v>
      </c>
      <c r="AE21" s="48">
        <v>103.6499170608455</v>
      </c>
      <c r="AF21" s="48">
        <v>104.30486689061776</v>
      </c>
      <c r="AG21" s="48">
        <v>104.09677892635632</v>
      </c>
      <c r="AH21" s="48">
        <v>103.7446906044616</v>
      </c>
      <c r="AI21" s="48">
        <v>103.50700326498608</v>
      </c>
      <c r="AJ21" s="48">
        <v>103.39826995836373</v>
      </c>
      <c r="AK21" s="48">
        <v>103.12254560688942</v>
      </c>
      <c r="AL21" s="48">
        <v>103.43323598683139</v>
      </c>
      <c r="AM21" s="48">
        <v>103.71882467646016</v>
      </c>
      <c r="AN21" s="48">
        <v>103.98324099494057</v>
      </c>
      <c r="AO21" s="48">
        <v>103.64487543050085</v>
      </c>
      <c r="AP21" s="48">
        <v>103.34287820511553</v>
      </c>
      <c r="AQ21" s="48">
        <v>103.31721571268136</v>
      </c>
      <c r="AR21" s="48">
        <v>103.14689567885789</v>
      </c>
      <c r="AS21" s="48">
        <v>104.30017783925625</v>
      </c>
      <c r="AT21" s="48">
        <v>104.31180707037763</v>
      </c>
      <c r="AU21" s="48">
        <v>104.11429397562419</v>
      </c>
      <c r="AV21" s="48">
        <v>104.15499430603523</v>
      </c>
      <c r="AW21" s="48">
        <v>104.11775900705069</v>
      </c>
      <c r="AX21" s="48">
        <v>105.0166994291662</v>
      </c>
      <c r="AY21" s="48">
        <v>105.13568583856404</v>
      </c>
      <c r="AZ21" s="48">
        <v>105.1885507595386</v>
      </c>
      <c r="BA21" s="48">
        <v>104.69130057607589</v>
      </c>
      <c r="BB21" s="48">
        <v>104.36908511221543</v>
      </c>
      <c r="BC21" s="48">
        <v>104.12418772346246</v>
      </c>
      <c r="BD21" s="48">
        <v>104.2896505444081</v>
      </c>
      <c r="BE21" s="48">
        <v>104.52272556003524</v>
      </c>
      <c r="BF21" s="48">
        <v>104.43611579643715</v>
      </c>
      <c r="BG21" s="48">
        <v>104.0204145393669</v>
      </c>
      <c r="BH21" s="48">
        <v>104.25648998414587</v>
      </c>
      <c r="BI21" s="48">
        <v>104.02772036034935</v>
      </c>
      <c r="BJ21" s="48">
        <v>103.98566238057228</v>
      </c>
      <c r="BK21" s="48">
        <v>103.60987665870589</v>
      </c>
      <c r="BL21" s="48">
        <v>102.93332899789645</v>
      </c>
      <c r="BM21" s="48">
        <v>102.81310244137187</v>
      </c>
      <c r="BN21" s="48">
        <v>102.92868482797456</v>
      </c>
      <c r="BO21" s="48">
        <v>102.78100004110119</v>
      </c>
      <c r="BP21" s="48">
        <v>102.71891824023268</v>
      </c>
      <c r="BQ21" s="48">
        <v>103.19492134803406</v>
      </c>
      <c r="BR21" s="48">
        <v>102.92112253528809</v>
      </c>
      <c r="BS21" s="48">
        <v>102.95460418451002</v>
      </c>
      <c r="BT21" s="48">
        <v>102.70147981404129</v>
      </c>
      <c r="BU21" s="48">
        <v>102.56230590420002</v>
      </c>
      <c r="BV21" s="48">
        <v>103.28995809893533</v>
      </c>
      <c r="BW21" s="48">
        <v>102.82378824009093</v>
      </c>
      <c r="BX21" s="48">
        <v>103.70288171046728</v>
      </c>
      <c r="BY21" s="48">
        <v>104.77932249592948</v>
      </c>
      <c r="BZ21" s="48">
        <v>105.18977058073713</v>
      </c>
      <c r="CA21" s="48">
        <v>105.56625420233318</v>
      </c>
      <c r="CB21" s="48">
        <v>105.50081387999592</v>
      </c>
      <c r="CC21" s="48">
        <v>105.47268677293725</v>
      </c>
      <c r="CD21" s="48">
        <v>104.89892690325981</v>
      </c>
      <c r="CE21" s="48">
        <v>104.24984519955164</v>
      </c>
      <c r="CF21" s="48">
        <v>104.27575505687665</v>
      </c>
      <c r="CG21" s="48">
        <v>104.20140940525755</v>
      </c>
      <c r="CH21" s="48">
        <v>104.75260624275617</v>
      </c>
      <c r="CI21" s="48">
        <v>104.76476844700004</v>
      </c>
      <c r="CJ21" s="48">
        <v>104.61291406884173</v>
      </c>
      <c r="CK21" s="48">
        <v>104.40900178202116</v>
      </c>
      <c r="CL21" s="48">
        <v>103.9701404704267</v>
      </c>
      <c r="CM21" s="48">
        <v>104.23350502912463</v>
      </c>
      <c r="CN21" s="48">
        <v>104.69200543226783</v>
      </c>
      <c r="CO21" s="48">
        <v>104.85615103436695</v>
      </c>
      <c r="CP21" s="48">
        <v>105.10127114201899</v>
      </c>
      <c r="CQ21" s="48">
        <v>105.08855498325816</v>
      </c>
      <c r="CR21" s="48">
        <v>105.31392808994693</v>
      </c>
      <c r="CS21" s="48">
        <v>105.94263679219178</v>
      </c>
      <c r="CT21" s="48">
        <v>106.1445687518919</v>
      </c>
      <c r="CU21" s="48">
        <v>105.4765487343924</v>
      </c>
      <c r="CV21" s="48">
        <v>105.18800322530062</v>
      </c>
      <c r="CW21" s="48">
        <v>104.77754463238243</v>
      </c>
      <c r="CX21" s="48">
        <v>104.39085278809496</v>
      </c>
      <c r="CY21" s="48">
        <v>104.5576525870223</v>
      </c>
      <c r="CZ21" s="48">
        <v>104.44207939638366</v>
      </c>
      <c r="DA21" s="48">
        <v>104.03349045793196</v>
      </c>
      <c r="DB21" s="48">
        <v>104.13475639481032</v>
      </c>
      <c r="DC21" s="48">
        <v>103.99713189923236</v>
      </c>
      <c r="DD21" s="48">
        <v>104.23196400759483</v>
      </c>
      <c r="DE21" s="48">
        <v>104.12593096970026</v>
      </c>
      <c r="DF21" s="48">
        <v>104.03290931584618</v>
      </c>
      <c r="DG21" s="48">
        <v>92.697501972463911</v>
      </c>
      <c r="DH21" s="48">
        <v>92.560766323974249</v>
      </c>
      <c r="DI21" s="48">
        <v>92.157368951918187</v>
      </c>
      <c r="DJ21" s="48">
        <v>91.992887653241525</v>
      </c>
      <c r="DK21" s="48">
        <v>91.760196700901218</v>
      </c>
      <c r="DL21" s="48">
        <v>91.179384166079657</v>
      </c>
      <c r="DM21" s="48">
        <v>90.720752721452754</v>
      </c>
      <c r="DN21" s="48">
        <v>91.875548820075977</v>
      </c>
      <c r="DO21" s="48">
        <v>93.755996107986007</v>
      </c>
      <c r="DP21" s="48">
        <v>93.618588167968909</v>
      </c>
      <c r="DQ21" s="48">
        <v>90.327990294416821</v>
      </c>
      <c r="DR21" s="48">
        <v>91.949522486260165</v>
      </c>
    </row>
    <row r="22" spans="1:122" s="42" customFormat="1" x14ac:dyDescent="0.35">
      <c r="B22" s="42">
        <v>120</v>
      </c>
      <c r="C22" s="31" t="s">
        <v>89</v>
      </c>
      <c r="D22" s="40" t="s">
        <v>90</v>
      </c>
      <c r="E22" s="102">
        <v>9.4042110357968607</v>
      </c>
      <c r="F22" s="41">
        <v>98.541101105867824</v>
      </c>
      <c r="G22" s="41">
        <v>98.514339815129915</v>
      </c>
      <c r="H22" s="41">
        <v>98.59088707600371</v>
      </c>
      <c r="I22" s="41">
        <v>99.117170363984485</v>
      </c>
      <c r="J22" s="41">
        <v>100.30271891401475</v>
      </c>
      <c r="K22" s="41">
        <v>100.65408133536782</v>
      </c>
      <c r="L22" s="41">
        <v>100.75940672189508</v>
      </c>
      <c r="M22" s="41">
        <v>100.53439395684367</v>
      </c>
      <c r="N22" s="41">
        <v>100.66195171016692</v>
      </c>
      <c r="O22" s="41">
        <v>100.84512586070902</v>
      </c>
      <c r="P22" s="41">
        <v>100.89070968571154</v>
      </c>
      <c r="Q22" s="41">
        <v>100.5881134543054</v>
      </c>
      <c r="R22" s="41">
        <v>102.45028537591219</v>
      </c>
      <c r="S22" s="41">
        <v>102.49293710121472</v>
      </c>
      <c r="T22" s="41">
        <v>102.43454265829749</v>
      </c>
      <c r="U22" s="41">
        <v>102.7940894190164</v>
      </c>
      <c r="V22" s="41">
        <v>102.80294231557961</v>
      </c>
      <c r="W22" s="41">
        <v>102.6559185619258</v>
      </c>
      <c r="X22" s="41">
        <v>102.81424167046247</v>
      </c>
      <c r="Y22" s="41">
        <v>102.79079273812364</v>
      </c>
      <c r="Z22" s="41">
        <v>103.00285638349328</v>
      </c>
      <c r="AA22" s="41">
        <v>103.34989535386541</v>
      </c>
      <c r="AB22" s="41">
        <v>103.62496803683113</v>
      </c>
      <c r="AC22" s="41">
        <v>104.66769563149091</v>
      </c>
      <c r="AD22" s="41">
        <v>103.93545336544521</v>
      </c>
      <c r="AE22" s="41">
        <v>103.6499170608455</v>
      </c>
      <c r="AF22" s="41">
        <v>104.30486689061776</v>
      </c>
      <c r="AG22" s="41">
        <v>104.09677892635632</v>
      </c>
      <c r="AH22" s="41">
        <v>103.7446906044616</v>
      </c>
      <c r="AI22" s="41">
        <v>103.50700326498608</v>
      </c>
      <c r="AJ22" s="41">
        <v>103.39826995836373</v>
      </c>
      <c r="AK22" s="41">
        <v>103.12254560688942</v>
      </c>
      <c r="AL22" s="41">
        <v>103.43323598683139</v>
      </c>
      <c r="AM22" s="41">
        <v>103.71882467646016</v>
      </c>
      <c r="AN22" s="41">
        <v>103.98324099494057</v>
      </c>
      <c r="AO22" s="41">
        <v>103.64487543050085</v>
      </c>
      <c r="AP22" s="41">
        <v>103.34287820511553</v>
      </c>
      <c r="AQ22" s="41">
        <v>103.31721571268136</v>
      </c>
      <c r="AR22" s="41">
        <v>103.14689567885789</v>
      </c>
      <c r="AS22" s="41">
        <v>104.30017783925625</v>
      </c>
      <c r="AT22" s="41">
        <v>104.31180707037763</v>
      </c>
      <c r="AU22" s="41">
        <v>104.11429397562419</v>
      </c>
      <c r="AV22" s="41">
        <v>104.15499430603523</v>
      </c>
      <c r="AW22" s="41">
        <v>104.11775900705069</v>
      </c>
      <c r="AX22" s="41">
        <v>105.0166994291662</v>
      </c>
      <c r="AY22" s="41">
        <v>105.13568583856404</v>
      </c>
      <c r="AZ22" s="41">
        <v>105.1885507595386</v>
      </c>
      <c r="BA22" s="41">
        <v>104.69130057607589</v>
      </c>
      <c r="BB22" s="41">
        <v>104.36908511221543</v>
      </c>
      <c r="BC22" s="41">
        <v>104.12418772346246</v>
      </c>
      <c r="BD22" s="41">
        <v>104.2896505444081</v>
      </c>
      <c r="BE22" s="41">
        <v>104.52272556003524</v>
      </c>
      <c r="BF22" s="41">
        <v>104.43611579643715</v>
      </c>
      <c r="BG22" s="41">
        <v>104.0204145393669</v>
      </c>
      <c r="BH22" s="41">
        <v>104.25648998414587</v>
      </c>
      <c r="BI22" s="41">
        <v>104.02772036034935</v>
      </c>
      <c r="BJ22" s="41">
        <v>103.98566238057228</v>
      </c>
      <c r="BK22" s="41">
        <v>103.60987665870589</v>
      </c>
      <c r="BL22" s="41">
        <v>102.93332899789645</v>
      </c>
      <c r="BM22" s="41">
        <v>102.81310244137187</v>
      </c>
      <c r="BN22" s="41">
        <v>102.92868482797456</v>
      </c>
      <c r="BO22" s="41">
        <v>102.78100004110119</v>
      </c>
      <c r="BP22" s="41">
        <v>102.71891824023268</v>
      </c>
      <c r="BQ22" s="41">
        <v>103.19492134803406</v>
      </c>
      <c r="BR22" s="41">
        <v>102.92112253528809</v>
      </c>
      <c r="BS22" s="41">
        <v>102.95460418451002</v>
      </c>
      <c r="BT22" s="41">
        <v>102.70147981404129</v>
      </c>
      <c r="BU22" s="41">
        <v>102.56230590420002</v>
      </c>
      <c r="BV22" s="41">
        <v>103.28995809893533</v>
      </c>
      <c r="BW22" s="41">
        <v>102.82378824009093</v>
      </c>
      <c r="BX22" s="41">
        <v>103.70288171046728</v>
      </c>
      <c r="BY22" s="41">
        <v>104.77932249592948</v>
      </c>
      <c r="BZ22" s="41">
        <v>105.18977058073713</v>
      </c>
      <c r="CA22" s="41">
        <v>105.56625420233318</v>
      </c>
      <c r="CB22" s="41">
        <v>105.50081387999592</v>
      </c>
      <c r="CC22" s="41">
        <v>105.47268677293725</v>
      </c>
      <c r="CD22" s="41">
        <v>104.89892690325981</v>
      </c>
      <c r="CE22" s="41">
        <v>104.24984519955164</v>
      </c>
      <c r="CF22" s="41">
        <v>104.27575505687665</v>
      </c>
      <c r="CG22" s="41">
        <v>104.20140940525755</v>
      </c>
      <c r="CH22" s="41">
        <v>104.75260624275617</v>
      </c>
      <c r="CI22" s="41">
        <v>104.76476844700004</v>
      </c>
      <c r="CJ22" s="41">
        <v>104.61291406884173</v>
      </c>
      <c r="CK22" s="41">
        <v>104.40900178202116</v>
      </c>
      <c r="CL22" s="41">
        <v>103.9701404704267</v>
      </c>
      <c r="CM22" s="41">
        <v>104.23350502912463</v>
      </c>
      <c r="CN22" s="41">
        <v>104.69200543226783</v>
      </c>
      <c r="CO22" s="41">
        <v>104.85615103436695</v>
      </c>
      <c r="CP22" s="41">
        <v>105.10127114201899</v>
      </c>
      <c r="CQ22" s="41">
        <v>105.08855498325816</v>
      </c>
      <c r="CR22" s="41">
        <v>105.31392808994693</v>
      </c>
      <c r="CS22" s="41">
        <v>105.94263679219178</v>
      </c>
      <c r="CT22" s="41">
        <v>106.1445687518919</v>
      </c>
      <c r="CU22" s="41">
        <v>105.4765487343924</v>
      </c>
      <c r="CV22" s="41">
        <v>105.18800322530062</v>
      </c>
      <c r="CW22" s="41">
        <v>104.77754463238243</v>
      </c>
      <c r="CX22" s="41">
        <v>104.39085278809496</v>
      </c>
      <c r="CY22" s="41">
        <v>104.5576525870223</v>
      </c>
      <c r="CZ22" s="41">
        <v>104.44207939638366</v>
      </c>
      <c r="DA22" s="41">
        <v>104.03349045793196</v>
      </c>
      <c r="DB22" s="41">
        <v>104.13475639481032</v>
      </c>
      <c r="DC22" s="41">
        <v>103.99713189923236</v>
      </c>
      <c r="DD22" s="41">
        <v>104.23196400759483</v>
      </c>
      <c r="DE22" s="41">
        <v>104.12593096970026</v>
      </c>
      <c r="DF22" s="41">
        <v>104.03290931584618</v>
      </c>
      <c r="DG22" s="41">
        <v>92.697501972463911</v>
      </c>
      <c r="DH22" s="41">
        <v>92.560766323974249</v>
      </c>
      <c r="DI22" s="41">
        <v>92.157368951918187</v>
      </c>
      <c r="DJ22" s="41">
        <v>91.992887653241525</v>
      </c>
      <c r="DK22" s="41">
        <v>91.760196700901218</v>
      </c>
      <c r="DL22" s="41">
        <v>91.179384166079657</v>
      </c>
      <c r="DM22" s="41">
        <v>90.720752721452754</v>
      </c>
      <c r="DN22" s="41">
        <v>91.875548820075977</v>
      </c>
      <c r="DO22" s="41">
        <v>93.755996107986007</v>
      </c>
      <c r="DP22" s="41">
        <v>93.618588167968909</v>
      </c>
      <c r="DQ22" s="41">
        <v>90.327990294416821</v>
      </c>
      <c r="DR22" s="41">
        <v>91.949522486260165</v>
      </c>
    </row>
    <row r="23" spans="1:122" x14ac:dyDescent="0.35">
      <c r="A23" s="44">
        <v>13</v>
      </c>
      <c r="B23" s="44"/>
      <c r="C23" s="44"/>
      <c r="D23" s="45" t="s">
        <v>15</v>
      </c>
      <c r="E23" s="101">
        <v>21.999441484290998</v>
      </c>
      <c r="F23" s="24">
        <v>99.983363574580096</v>
      </c>
      <c r="G23" s="24">
        <v>99.877062593239273</v>
      </c>
      <c r="H23" s="24">
        <v>99.877062593239273</v>
      </c>
      <c r="I23" s="24">
        <v>99.877062593239273</v>
      </c>
      <c r="J23" s="24">
        <v>99.877062593239273</v>
      </c>
      <c r="K23" s="24">
        <v>99.983363574580096</v>
      </c>
      <c r="L23" s="24">
        <v>99.983363574580096</v>
      </c>
      <c r="M23" s="24">
        <v>99.983363574580096</v>
      </c>
      <c r="N23" s="24">
        <v>99.983363574580096</v>
      </c>
      <c r="O23" s="24">
        <v>100.19164391804756</v>
      </c>
      <c r="P23" s="24">
        <v>100.19164391804756</v>
      </c>
      <c r="Q23" s="24">
        <v>100.19164391804756</v>
      </c>
      <c r="R23" s="24">
        <v>101.02249064586945</v>
      </c>
      <c r="S23" s="24">
        <v>101.02249064586945</v>
      </c>
      <c r="T23" s="24">
        <v>101.25735394907466</v>
      </c>
      <c r="U23" s="24">
        <v>101.25735394907466</v>
      </c>
      <c r="V23" s="24">
        <v>101.25735394907466</v>
      </c>
      <c r="W23" s="24">
        <v>101.25735394907466</v>
      </c>
      <c r="X23" s="24">
        <v>101.25735394907466</v>
      </c>
      <c r="Y23" s="24">
        <v>103.51819615014035</v>
      </c>
      <c r="Z23" s="24">
        <v>105.03897111478405</v>
      </c>
      <c r="AA23" s="24">
        <v>105.03897111478405</v>
      </c>
      <c r="AB23" s="24">
        <v>105.03897111478405</v>
      </c>
      <c r="AC23" s="24">
        <v>105.35071013482856</v>
      </c>
      <c r="AD23" s="24">
        <v>105.35071013482856</v>
      </c>
      <c r="AE23" s="24">
        <v>105.48816921491076</v>
      </c>
      <c r="AF23" s="24">
        <v>105.48816921491076</v>
      </c>
      <c r="AG23" s="24">
        <v>105.48816921491076</v>
      </c>
      <c r="AH23" s="24">
        <v>105.48816921491076</v>
      </c>
      <c r="AI23" s="24">
        <v>105.48816921491076</v>
      </c>
      <c r="AJ23" s="24">
        <v>105.48816921491076</v>
      </c>
      <c r="AK23" s="24">
        <v>105.48816921491076</v>
      </c>
      <c r="AL23" s="24">
        <v>109.82412957353428</v>
      </c>
      <c r="AM23" s="24">
        <v>109.82412957353428</v>
      </c>
      <c r="AN23" s="24">
        <v>109.82412957353428</v>
      </c>
      <c r="AO23" s="24">
        <v>109.82412957353428</v>
      </c>
      <c r="AP23" s="24">
        <v>110.84644509631627</v>
      </c>
      <c r="AQ23" s="24">
        <v>110.84644509631627</v>
      </c>
      <c r="AR23" s="24">
        <v>110.84644509631627</v>
      </c>
      <c r="AS23" s="24">
        <v>110.84644509631627</v>
      </c>
      <c r="AT23" s="24">
        <v>110.84644509631627</v>
      </c>
      <c r="AU23" s="24">
        <v>110.89424159344702</v>
      </c>
      <c r="AV23" s="24">
        <v>111.74022470228219</v>
      </c>
      <c r="AW23" s="24">
        <v>111.74022470228219</v>
      </c>
      <c r="AX23" s="24">
        <v>111.74022470228219</v>
      </c>
      <c r="AY23" s="24">
        <v>111.74022470228219</v>
      </c>
      <c r="AZ23" s="24">
        <v>111.74022470228219</v>
      </c>
      <c r="BA23" s="24">
        <v>111.74022470228219</v>
      </c>
      <c r="BB23" s="24">
        <v>111.74022470228219</v>
      </c>
      <c r="BC23" s="24">
        <v>111.74022470228219</v>
      </c>
      <c r="BD23" s="24">
        <v>111.74022470228219</v>
      </c>
      <c r="BE23" s="24">
        <v>112.58205135756003</v>
      </c>
      <c r="BF23" s="24">
        <v>112.58205135756003</v>
      </c>
      <c r="BG23" s="24">
        <v>116.15028648251932</v>
      </c>
      <c r="BH23" s="24">
        <v>117.89084901747007</v>
      </c>
      <c r="BI23" s="24">
        <v>118.13896445963941</v>
      </c>
      <c r="BJ23" s="24">
        <v>118.20673095464352</v>
      </c>
      <c r="BK23" s="24">
        <v>118.20673095464352</v>
      </c>
      <c r="BL23" s="24">
        <v>118.35617008602081</v>
      </c>
      <c r="BM23" s="24">
        <v>118.35617008602081</v>
      </c>
      <c r="BN23" s="24">
        <v>120.32023826845544</v>
      </c>
      <c r="BO23" s="24">
        <v>120.32023826845544</v>
      </c>
      <c r="BP23" s="24">
        <v>120.45388986736994</v>
      </c>
      <c r="BQ23" s="24">
        <v>120.45388986736994</v>
      </c>
      <c r="BR23" s="24">
        <v>120.45388986736994</v>
      </c>
      <c r="BS23" s="24">
        <v>120.45388986736994</v>
      </c>
      <c r="BT23" s="24">
        <v>120.45388986736994</v>
      </c>
      <c r="BU23" s="24">
        <v>120.45388986736994</v>
      </c>
      <c r="BV23" s="24">
        <v>120.45388986736994</v>
      </c>
      <c r="BW23" s="24">
        <v>120.45388986736994</v>
      </c>
      <c r="BX23" s="24">
        <v>120.45388986736994</v>
      </c>
      <c r="BY23" s="24">
        <v>120.45388986736994</v>
      </c>
      <c r="BZ23" s="24">
        <v>120.45388986736994</v>
      </c>
      <c r="CA23" s="24">
        <v>120.45388986736994</v>
      </c>
      <c r="CB23" s="24">
        <v>120.45388986736994</v>
      </c>
      <c r="CC23" s="24">
        <v>120.45388986736994</v>
      </c>
      <c r="CD23" s="24">
        <v>120.45388986736994</v>
      </c>
      <c r="CE23" s="24">
        <v>120.45388986736994</v>
      </c>
      <c r="CF23" s="24">
        <v>120.45388986736994</v>
      </c>
      <c r="CG23" s="24">
        <v>120.45388986736994</v>
      </c>
      <c r="CH23" s="24">
        <v>120.45388986736994</v>
      </c>
      <c r="CI23" s="24">
        <v>120.52224396166132</v>
      </c>
      <c r="CJ23" s="24">
        <v>120.65288858198295</v>
      </c>
      <c r="CK23" s="24">
        <v>120.77436252539121</v>
      </c>
      <c r="CL23" s="24">
        <v>120.77436252539121</v>
      </c>
      <c r="CM23" s="24">
        <v>120.77436252539121</v>
      </c>
      <c r="CN23" s="24">
        <v>120.77436252539121</v>
      </c>
      <c r="CO23" s="24">
        <v>120.77436252539121</v>
      </c>
      <c r="CP23" s="24">
        <v>120.77436252539121</v>
      </c>
      <c r="CQ23" s="24">
        <v>120.77436252539121</v>
      </c>
      <c r="CR23" s="24">
        <v>121.08753170863709</v>
      </c>
      <c r="CS23" s="24">
        <v>121.08753170863709</v>
      </c>
      <c r="CT23" s="24">
        <v>121.08753170863709</v>
      </c>
      <c r="CU23" s="24">
        <v>121.08753170863709</v>
      </c>
      <c r="CV23" s="24">
        <v>123.00427945004765</v>
      </c>
      <c r="CW23" s="24">
        <v>123.96325719402594</v>
      </c>
      <c r="CX23" s="24">
        <v>123.96325719402594</v>
      </c>
      <c r="CY23" s="24">
        <v>123.96325719402594</v>
      </c>
      <c r="CZ23" s="24">
        <v>123.96325719402594</v>
      </c>
      <c r="DA23" s="24">
        <v>123.96325719402594</v>
      </c>
      <c r="DB23" s="24">
        <v>123.96325719402594</v>
      </c>
      <c r="DC23" s="24">
        <v>123.96325719402594</v>
      </c>
      <c r="DD23" s="24">
        <v>123.96325719402594</v>
      </c>
      <c r="DE23" s="24">
        <v>123.96325719402594</v>
      </c>
      <c r="DF23" s="24">
        <v>123.96325719402594</v>
      </c>
      <c r="DG23" s="24">
        <v>124.01886365349307</v>
      </c>
      <c r="DH23" s="24">
        <v>123.2666173019999</v>
      </c>
      <c r="DI23" s="24">
        <v>123.2666173019999</v>
      </c>
      <c r="DJ23" s="24">
        <v>123.2666173019999</v>
      </c>
      <c r="DK23" s="24">
        <v>123.19595796086951</v>
      </c>
      <c r="DL23" s="24">
        <v>123.18438745873605</v>
      </c>
      <c r="DM23" s="24">
        <v>123.18438745873605</v>
      </c>
      <c r="DN23" s="24">
        <v>123.19884065620472</v>
      </c>
      <c r="DO23" s="24">
        <v>123.19884065620472</v>
      </c>
      <c r="DP23" s="24">
        <v>123.34016553380923</v>
      </c>
      <c r="DQ23" s="24">
        <v>123.34016553380923</v>
      </c>
      <c r="DR23" s="24">
        <v>123.34016553380923</v>
      </c>
    </row>
    <row r="24" spans="1:122" s="43" customFormat="1" x14ac:dyDescent="0.35">
      <c r="B24" s="43">
        <v>131</v>
      </c>
      <c r="C24" s="37">
        <v>1311</v>
      </c>
      <c r="D24" s="40" t="s">
        <v>84</v>
      </c>
      <c r="E24" s="102">
        <v>11.5188009235262</v>
      </c>
      <c r="F24" s="47">
        <v>99.968226548061466</v>
      </c>
      <c r="G24" s="47">
        <v>99.765205223684376</v>
      </c>
      <c r="H24" s="47">
        <v>99.765205223684376</v>
      </c>
      <c r="I24" s="47">
        <v>99.765205223684376</v>
      </c>
      <c r="J24" s="47">
        <v>99.765205223684376</v>
      </c>
      <c r="K24" s="47">
        <v>99.968226548061466</v>
      </c>
      <c r="L24" s="47">
        <v>99.968226548061466</v>
      </c>
      <c r="M24" s="47">
        <v>99.968226548061466</v>
      </c>
      <c r="N24" s="47">
        <v>99.968226548061466</v>
      </c>
      <c r="O24" s="47">
        <v>100.36601545498507</v>
      </c>
      <c r="P24" s="47">
        <v>100.36601545498507</v>
      </c>
      <c r="Q24" s="47">
        <v>100.36601545498507</v>
      </c>
      <c r="R24" s="47">
        <v>101.95282679867286</v>
      </c>
      <c r="S24" s="47">
        <v>101.95282679867286</v>
      </c>
      <c r="T24" s="47">
        <v>102.40138577021631</v>
      </c>
      <c r="U24" s="47">
        <v>102.40138577021631</v>
      </c>
      <c r="V24" s="47">
        <v>102.40138577021631</v>
      </c>
      <c r="W24" s="47">
        <v>102.40138577021631</v>
      </c>
      <c r="X24" s="47">
        <v>102.40138577021631</v>
      </c>
      <c r="Y24" s="47">
        <v>102.71807275026117</v>
      </c>
      <c r="Z24" s="47">
        <v>102.94166658704317</v>
      </c>
      <c r="AA24" s="47">
        <v>102.94166658704317</v>
      </c>
      <c r="AB24" s="47">
        <v>102.94166658704317</v>
      </c>
      <c r="AC24" s="47">
        <v>102.94166658704317</v>
      </c>
      <c r="AD24" s="47">
        <v>102.94166658704317</v>
      </c>
      <c r="AE24" s="47">
        <v>102.94166658704317</v>
      </c>
      <c r="AF24" s="47">
        <v>102.94166658704317</v>
      </c>
      <c r="AG24" s="47">
        <v>102.94166658704317</v>
      </c>
      <c r="AH24" s="47">
        <v>102.94166658704317</v>
      </c>
      <c r="AI24" s="47">
        <v>102.94166658704317</v>
      </c>
      <c r="AJ24" s="47">
        <v>102.94166658704317</v>
      </c>
      <c r="AK24" s="47">
        <v>102.94166658704317</v>
      </c>
      <c r="AL24" s="47">
        <v>106.44502085269175</v>
      </c>
      <c r="AM24" s="47">
        <v>106.44502085269175</v>
      </c>
      <c r="AN24" s="47">
        <v>106.44502085269175</v>
      </c>
      <c r="AO24" s="47">
        <v>106.44502085269175</v>
      </c>
      <c r="AP24" s="47">
        <v>108.39751318859021</v>
      </c>
      <c r="AQ24" s="47">
        <v>108.39751318859021</v>
      </c>
      <c r="AR24" s="47">
        <v>108.39751318859021</v>
      </c>
      <c r="AS24" s="47">
        <v>108.39751318859021</v>
      </c>
      <c r="AT24" s="47">
        <v>108.39751318859021</v>
      </c>
      <c r="AU24" s="47">
        <v>108.48879840558141</v>
      </c>
      <c r="AV24" s="47">
        <v>109.11582264398849</v>
      </c>
      <c r="AW24" s="47">
        <v>109.11582264398849</v>
      </c>
      <c r="AX24" s="47">
        <v>109.11582264398849</v>
      </c>
      <c r="AY24" s="47">
        <v>109.11582264398849</v>
      </c>
      <c r="AZ24" s="47">
        <v>109.11582264398849</v>
      </c>
      <c r="BA24" s="47">
        <v>109.11582264398849</v>
      </c>
      <c r="BB24" s="47">
        <v>109.11582264398849</v>
      </c>
      <c r="BC24" s="47">
        <v>109.11582264398849</v>
      </c>
      <c r="BD24" s="47">
        <v>109.11582264398849</v>
      </c>
      <c r="BE24" s="47">
        <v>110.59231899334316</v>
      </c>
      <c r="BF24" s="47">
        <v>110.59231899334316</v>
      </c>
      <c r="BG24" s="47">
        <v>116.55457880107244</v>
      </c>
      <c r="BH24" s="47">
        <v>118.93090165961672</v>
      </c>
      <c r="BI24" s="47">
        <v>118.93090165961672</v>
      </c>
      <c r="BJ24" s="47">
        <v>118.93090165961672</v>
      </c>
      <c r="BK24" s="47">
        <v>118.93090165961672</v>
      </c>
      <c r="BL24" s="47">
        <v>118.93090165961672</v>
      </c>
      <c r="BM24" s="47">
        <v>118.93090165961672</v>
      </c>
      <c r="BN24" s="47">
        <v>118.93090165961672</v>
      </c>
      <c r="BO24" s="47">
        <v>118.93090165961672</v>
      </c>
      <c r="BP24" s="47">
        <v>118.93090165961672</v>
      </c>
      <c r="BQ24" s="47">
        <v>118.93090165961672</v>
      </c>
      <c r="BR24" s="47">
        <v>118.93090165961672</v>
      </c>
      <c r="BS24" s="47">
        <v>118.93090165961672</v>
      </c>
      <c r="BT24" s="47">
        <v>118.93090165961672</v>
      </c>
      <c r="BU24" s="47">
        <v>118.93090165961672</v>
      </c>
      <c r="BV24" s="47">
        <v>118.93090165961672</v>
      </c>
      <c r="BW24" s="47">
        <v>118.93090165961672</v>
      </c>
      <c r="BX24" s="47">
        <v>118.93090165961672</v>
      </c>
      <c r="BY24" s="47">
        <v>118.93090165961672</v>
      </c>
      <c r="BZ24" s="47">
        <v>118.93090165961672</v>
      </c>
      <c r="CA24" s="47">
        <v>118.93090165961672</v>
      </c>
      <c r="CB24" s="47">
        <v>118.93090165961672</v>
      </c>
      <c r="CC24" s="47">
        <v>118.93090165961672</v>
      </c>
      <c r="CD24" s="47">
        <v>118.93090165961672</v>
      </c>
      <c r="CE24" s="47">
        <v>118.93090165961672</v>
      </c>
      <c r="CF24" s="47">
        <v>118.93090165961672</v>
      </c>
      <c r="CG24" s="47">
        <v>118.93090165961672</v>
      </c>
      <c r="CH24" s="47">
        <v>118.93090165961672</v>
      </c>
      <c r="CI24" s="47">
        <v>118.93090165961672</v>
      </c>
      <c r="CJ24" s="47">
        <v>118.93090165961672</v>
      </c>
      <c r="CK24" s="47">
        <v>118.93090165961672</v>
      </c>
      <c r="CL24" s="47">
        <v>118.93090165961672</v>
      </c>
      <c r="CM24" s="47">
        <v>118.93090165961672</v>
      </c>
      <c r="CN24" s="47">
        <v>118.93090165961672</v>
      </c>
      <c r="CO24" s="47">
        <v>118.93090165961672</v>
      </c>
      <c r="CP24" s="47">
        <v>118.93090165961672</v>
      </c>
      <c r="CQ24" s="47">
        <v>118.93090165961672</v>
      </c>
      <c r="CR24" s="47">
        <v>118.93090165961672</v>
      </c>
      <c r="CS24" s="47">
        <v>118.93090165961672</v>
      </c>
      <c r="CT24" s="47">
        <v>118.93090165961672</v>
      </c>
      <c r="CU24" s="47">
        <v>118.93090165961672</v>
      </c>
      <c r="CV24" s="47">
        <v>118.93090165961672</v>
      </c>
      <c r="CW24" s="47">
        <v>118.93090165961672</v>
      </c>
      <c r="CX24" s="47">
        <v>118.93090165961672</v>
      </c>
      <c r="CY24" s="47">
        <v>118.93090165961672</v>
      </c>
      <c r="CZ24" s="47">
        <v>118.93090165961672</v>
      </c>
      <c r="DA24" s="47">
        <v>118.93090165961672</v>
      </c>
      <c r="DB24" s="47">
        <v>118.93090165961672</v>
      </c>
      <c r="DC24" s="47">
        <v>118.93090165961672</v>
      </c>
      <c r="DD24" s="47">
        <v>118.93090165961672</v>
      </c>
      <c r="DE24" s="47">
        <v>118.93090165961672</v>
      </c>
      <c r="DF24" s="47">
        <v>118.93090165961672</v>
      </c>
      <c r="DG24" s="47">
        <v>118.93090165961672</v>
      </c>
      <c r="DH24" s="47">
        <v>118.93090165961672</v>
      </c>
      <c r="DI24" s="47">
        <v>118.93090165961672</v>
      </c>
      <c r="DJ24" s="47">
        <v>118.93090165961672</v>
      </c>
      <c r="DK24" s="47">
        <v>118.93090165961672</v>
      </c>
      <c r="DL24" s="47">
        <v>118.93090165961672</v>
      </c>
      <c r="DM24" s="47">
        <v>118.93090165961672</v>
      </c>
      <c r="DN24" s="47">
        <v>118.93090165961672</v>
      </c>
      <c r="DO24" s="47">
        <v>118.93090165961672</v>
      </c>
      <c r="DP24" s="47">
        <v>118.93090165961672</v>
      </c>
      <c r="DQ24" s="47">
        <v>118.93090165961672</v>
      </c>
      <c r="DR24" s="47">
        <v>118.93090165961672</v>
      </c>
    </row>
    <row r="25" spans="1:122" s="42" customFormat="1" x14ac:dyDescent="0.35">
      <c r="B25" s="42">
        <v>139</v>
      </c>
      <c r="C25" s="31" t="s">
        <v>93</v>
      </c>
      <c r="D25" s="40" t="s">
        <v>86</v>
      </c>
      <c r="E25" s="102">
        <v>10.480640560764799</v>
      </c>
      <c r="F25" s="41">
        <v>100</v>
      </c>
      <c r="G25" s="41">
        <v>100</v>
      </c>
      <c r="H25" s="41">
        <v>100</v>
      </c>
      <c r="I25" s="41">
        <v>100</v>
      </c>
      <c r="J25" s="41">
        <v>100</v>
      </c>
      <c r="K25" s="41">
        <v>100</v>
      </c>
      <c r="L25" s="41">
        <v>100</v>
      </c>
      <c r="M25" s="41">
        <v>100</v>
      </c>
      <c r="N25" s="41">
        <v>100</v>
      </c>
      <c r="O25" s="41">
        <v>100</v>
      </c>
      <c r="P25" s="41">
        <v>100</v>
      </c>
      <c r="Q25" s="41">
        <v>100</v>
      </c>
      <c r="R25" s="41">
        <v>100</v>
      </c>
      <c r="S25" s="41">
        <v>100</v>
      </c>
      <c r="T25" s="41">
        <v>100</v>
      </c>
      <c r="U25" s="41">
        <v>100</v>
      </c>
      <c r="V25" s="41">
        <v>100</v>
      </c>
      <c r="W25" s="41">
        <v>100</v>
      </c>
      <c r="X25" s="41">
        <v>100</v>
      </c>
      <c r="Y25" s="41">
        <v>104.39757581248328</v>
      </c>
      <c r="Z25" s="41">
        <v>107.34402424498076</v>
      </c>
      <c r="AA25" s="41">
        <v>107.34402424498076</v>
      </c>
      <c r="AB25" s="41">
        <v>107.34402424498076</v>
      </c>
      <c r="AC25" s="41">
        <v>107.99838160892976</v>
      </c>
      <c r="AD25" s="41">
        <v>107.99838160892976</v>
      </c>
      <c r="AE25" s="41">
        <v>108.28691578498704</v>
      </c>
      <c r="AF25" s="41">
        <v>108.28691578498704</v>
      </c>
      <c r="AG25" s="41">
        <v>108.28691578498704</v>
      </c>
      <c r="AH25" s="41">
        <v>108.28691578498704</v>
      </c>
      <c r="AI25" s="41">
        <v>108.28691578498704</v>
      </c>
      <c r="AJ25" s="41">
        <v>108.28691578498704</v>
      </c>
      <c r="AK25" s="41">
        <v>108.28691578498704</v>
      </c>
      <c r="AL25" s="41">
        <v>113.53795607380073</v>
      </c>
      <c r="AM25" s="41">
        <v>113.53795607380073</v>
      </c>
      <c r="AN25" s="41">
        <v>113.53795607380073</v>
      </c>
      <c r="AO25" s="41">
        <v>113.53795607380073</v>
      </c>
      <c r="AP25" s="41">
        <v>113.53795607380073</v>
      </c>
      <c r="AQ25" s="41">
        <v>113.53795607380073</v>
      </c>
      <c r="AR25" s="41">
        <v>113.53795607380073</v>
      </c>
      <c r="AS25" s="41">
        <v>113.53795607380073</v>
      </c>
      <c r="AT25" s="41">
        <v>113.53795607380073</v>
      </c>
      <c r="AU25" s="41">
        <v>113.53795607380073</v>
      </c>
      <c r="AV25" s="41">
        <v>114.62458703467109</v>
      </c>
      <c r="AW25" s="41">
        <v>114.62458703467109</v>
      </c>
      <c r="AX25" s="41">
        <v>114.62458703467109</v>
      </c>
      <c r="AY25" s="41">
        <v>114.62458703467109</v>
      </c>
      <c r="AZ25" s="41">
        <v>114.62458703467109</v>
      </c>
      <c r="BA25" s="41">
        <v>114.62458703467109</v>
      </c>
      <c r="BB25" s="41">
        <v>114.62458703467109</v>
      </c>
      <c r="BC25" s="41">
        <v>114.62458703467109</v>
      </c>
      <c r="BD25" s="41">
        <v>114.62458703467109</v>
      </c>
      <c r="BE25" s="41">
        <v>114.76887675831959</v>
      </c>
      <c r="BF25" s="41">
        <v>114.76887675831959</v>
      </c>
      <c r="BG25" s="41">
        <v>115.70594696860087</v>
      </c>
      <c r="BH25" s="41">
        <v>116.74777391004547</v>
      </c>
      <c r="BI25" s="41">
        <v>117.26858188162949</v>
      </c>
      <c r="BJ25" s="41">
        <v>117.41082748511094</v>
      </c>
      <c r="BK25" s="41">
        <v>117.41082748511094</v>
      </c>
      <c r="BL25" s="41">
        <v>117.72450844832474</v>
      </c>
      <c r="BM25" s="41">
        <v>117.72450844832474</v>
      </c>
      <c r="BN25" s="41">
        <v>121.84719568295645</v>
      </c>
      <c r="BO25" s="41">
        <v>121.84719568295645</v>
      </c>
      <c r="BP25" s="41">
        <v>122.12773774644526</v>
      </c>
      <c r="BQ25" s="41">
        <v>122.12773774644526</v>
      </c>
      <c r="BR25" s="41">
        <v>122.12773774644526</v>
      </c>
      <c r="BS25" s="41">
        <v>122.12773774644526</v>
      </c>
      <c r="BT25" s="41">
        <v>122.12773774644526</v>
      </c>
      <c r="BU25" s="41">
        <v>122.12773774644526</v>
      </c>
      <c r="BV25" s="41">
        <v>122.12773774644526</v>
      </c>
      <c r="BW25" s="41">
        <v>122.12773774644526</v>
      </c>
      <c r="BX25" s="41">
        <v>122.12773774644526</v>
      </c>
      <c r="BY25" s="41">
        <v>122.12773774644526</v>
      </c>
      <c r="BZ25" s="41">
        <v>122.12773774644526</v>
      </c>
      <c r="CA25" s="41">
        <v>122.12773774644526</v>
      </c>
      <c r="CB25" s="41">
        <v>122.12773774644526</v>
      </c>
      <c r="CC25" s="41">
        <v>122.12773774644526</v>
      </c>
      <c r="CD25" s="41">
        <v>122.12773774644526</v>
      </c>
      <c r="CE25" s="41">
        <v>122.12773774644526</v>
      </c>
      <c r="CF25" s="41">
        <v>122.12773774644526</v>
      </c>
      <c r="CG25" s="41">
        <v>122.12773774644526</v>
      </c>
      <c r="CH25" s="41">
        <v>122.12773774644526</v>
      </c>
      <c r="CI25" s="41">
        <v>122.2712167531774</v>
      </c>
      <c r="CJ25" s="41">
        <v>122.54544700306906</v>
      </c>
      <c r="CK25" s="41">
        <v>122.80042749728432</v>
      </c>
      <c r="CL25" s="41">
        <v>122.80042749728432</v>
      </c>
      <c r="CM25" s="41">
        <v>122.80042749728432</v>
      </c>
      <c r="CN25" s="41">
        <v>122.80042749728432</v>
      </c>
      <c r="CO25" s="41">
        <v>122.80042749728432</v>
      </c>
      <c r="CP25" s="41">
        <v>122.80042749728432</v>
      </c>
      <c r="CQ25" s="41">
        <v>122.80042749728432</v>
      </c>
      <c r="CR25" s="41">
        <v>123.45778685252188</v>
      </c>
      <c r="CS25" s="41">
        <v>123.45778685252188</v>
      </c>
      <c r="CT25" s="41">
        <v>123.45778685252188</v>
      </c>
      <c r="CU25" s="41">
        <v>123.45778685252188</v>
      </c>
      <c r="CV25" s="41">
        <v>127.48114587650802</v>
      </c>
      <c r="CW25" s="41">
        <v>129.49409295174368</v>
      </c>
      <c r="CX25" s="41">
        <v>129.49409295174368</v>
      </c>
      <c r="CY25" s="41">
        <v>129.49409295174368</v>
      </c>
      <c r="CZ25" s="41">
        <v>129.49409295174368</v>
      </c>
      <c r="DA25" s="41">
        <v>129.49409295174368</v>
      </c>
      <c r="DB25" s="41">
        <v>129.49409295174368</v>
      </c>
      <c r="DC25" s="41">
        <v>129.49409295174368</v>
      </c>
      <c r="DD25" s="41">
        <v>129.49409295174368</v>
      </c>
      <c r="DE25" s="41">
        <v>129.49409295174368</v>
      </c>
      <c r="DF25" s="41">
        <v>129.49409295174368</v>
      </c>
      <c r="DG25" s="41">
        <v>129.61081397123701</v>
      </c>
      <c r="DH25" s="41">
        <v>128.03180746915376</v>
      </c>
      <c r="DI25" s="41">
        <v>128.03180746915376</v>
      </c>
      <c r="DJ25" s="41">
        <v>128.03180746915376</v>
      </c>
      <c r="DK25" s="41">
        <v>127.88348962240529</v>
      </c>
      <c r="DL25" s="41">
        <v>127.85920250148436</v>
      </c>
      <c r="DM25" s="41">
        <v>127.85920250148436</v>
      </c>
      <c r="DN25" s="41">
        <v>127.88954055860302</v>
      </c>
      <c r="DO25" s="41">
        <v>127.88954055860302</v>
      </c>
      <c r="DP25" s="41">
        <v>128.18618925646737</v>
      </c>
      <c r="DQ25" s="41">
        <v>128.18618925646737</v>
      </c>
      <c r="DR25" s="41">
        <v>128.18618925646737</v>
      </c>
    </row>
    <row r="26" spans="1:122" s="26" customFormat="1" x14ac:dyDescent="0.35">
      <c r="A26" s="27">
        <v>14</v>
      </c>
      <c r="B26" s="27"/>
      <c r="C26" s="27"/>
      <c r="D26" s="29" t="s">
        <v>16</v>
      </c>
      <c r="E26" s="104">
        <v>17.7780236157529</v>
      </c>
      <c r="F26" s="50">
        <v>99.676741284578881</v>
      </c>
      <c r="G26" s="50">
        <v>99.524880691513033</v>
      </c>
      <c r="H26" s="50">
        <v>99.524880691513033</v>
      </c>
      <c r="I26" s="50">
        <v>99.524880691513033</v>
      </c>
      <c r="J26" s="50">
        <v>99.524880691513033</v>
      </c>
      <c r="K26" s="50">
        <v>99.676741284578881</v>
      </c>
      <c r="L26" s="50">
        <v>99.676741284578881</v>
      </c>
      <c r="M26" s="50">
        <v>99.676741284578881</v>
      </c>
      <c r="N26" s="50">
        <v>99.676741284578881</v>
      </c>
      <c r="O26" s="50">
        <v>101.17225693701776</v>
      </c>
      <c r="P26" s="50">
        <v>101.17225693701776</v>
      </c>
      <c r="Q26" s="50">
        <v>101.17225693701776</v>
      </c>
      <c r="R26" s="50">
        <v>102.36957020053106</v>
      </c>
      <c r="S26" s="50">
        <v>102.36957020053106</v>
      </c>
      <c r="T26" s="50">
        <v>102.70717914648644</v>
      </c>
      <c r="U26" s="50">
        <v>102.70717914648644</v>
      </c>
      <c r="V26" s="50">
        <v>102.70717914648644</v>
      </c>
      <c r="W26" s="50">
        <v>102.70717914648644</v>
      </c>
      <c r="X26" s="50">
        <v>102.70717914648644</v>
      </c>
      <c r="Y26" s="50">
        <v>103.53156581587189</v>
      </c>
      <c r="Z26" s="50">
        <v>104.04089659256688</v>
      </c>
      <c r="AA26" s="50">
        <v>104.04089659256688</v>
      </c>
      <c r="AB26" s="50">
        <v>104.04089659256688</v>
      </c>
      <c r="AC26" s="50">
        <v>104.04089659256688</v>
      </c>
      <c r="AD26" s="50">
        <v>104.04089659256688</v>
      </c>
      <c r="AE26" s="50">
        <v>104.04089659256688</v>
      </c>
      <c r="AF26" s="50">
        <v>104.04089659256688</v>
      </c>
      <c r="AG26" s="50">
        <v>104.04089659256688</v>
      </c>
      <c r="AH26" s="50">
        <v>104.04089659256688</v>
      </c>
      <c r="AI26" s="50">
        <v>104.04089659256688</v>
      </c>
      <c r="AJ26" s="50">
        <v>104.04089659256688</v>
      </c>
      <c r="AK26" s="50">
        <v>104.04089659256688</v>
      </c>
      <c r="AL26" s="50">
        <v>106.68532963208138</v>
      </c>
      <c r="AM26" s="50">
        <v>106.68532963208138</v>
      </c>
      <c r="AN26" s="50">
        <v>106.68532963208138</v>
      </c>
      <c r="AO26" s="50">
        <v>106.68532963208138</v>
      </c>
      <c r="AP26" s="50">
        <v>108.14966513398961</v>
      </c>
      <c r="AQ26" s="50">
        <v>108.14966513398961</v>
      </c>
      <c r="AR26" s="50">
        <v>108.14966513398961</v>
      </c>
      <c r="AS26" s="50">
        <v>108.14966513398961</v>
      </c>
      <c r="AT26" s="50">
        <v>108.14966513398961</v>
      </c>
      <c r="AU26" s="50">
        <v>108.21796531783043</v>
      </c>
      <c r="AV26" s="50">
        <v>108.68672142709288</v>
      </c>
      <c r="AW26" s="50">
        <v>108.68672142709288</v>
      </c>
      <c r="AX26" s="50">
        <v>108.68672142709288</v>
      </c>
      <c r="AY26" s="50">
        <v>108.68672142709288</v>
      </c>
      <c r="AZ26" s="50">
        <v>108.68672142709288</v>
      </c>
      <c r="BA26" s="50">
        <v>108.68672142709288</v>
      </c>
      <c r="BB26" s="50">
        <v>108.68672142709288</v>
      </c>
      <c r="BC26" s="50">
        <v>108.68672142709288</v>
      </c>
      <c r="BD26" s="50">
        <v>108.68672142709288</v>
      </c>
      <c r="BE26" s="50">
        <v>109.78788367472362</v>
      </c>
      <c r="BF26" s="50">
        <v>109.78788367472362</v>
      </c>
      <c r="BG26" s="50">
        <v>114.19778868118503</v>
      </c>
      <c r="BH26" s="50">
        <v>116.22384493276478</v>
      </c>
      <c r="BI26" s="50">
        <v>116.22384493276478</v>
      </c>
      <c r="BJ26" s="50">
        <v>116.22384493276478</v>
      </c>
      <c r="BK26" s="50">
        <v>116.22384493276478</v>
      </c>
      <c r="BL26" s="50">
        <v>116.22384493276478</v>
      </c>
      <c r="BM26" s="50">
        <v>116.22384493276478</v>
      </c>
      <c r="BN26" s="50">
        <v>117.08523738229673</v>
      </c>
      <c r="BO26" s="50">
        <v>117.08523738229673</v>
      </c>
      <c r="BP26" s="50">
        <v>117.08523738229673</v>
      </c>
      <c r="BQ26" s="50">
        <v>117.08523738229673</v>
      </c>
      <c r="BR26" s="50">
        <v>117.08523738229673</v>
      </c>
      <c r="BS26" s="50">
        <v>117.08523738229673</v>
      </c>
      <c r="BT26" s="50">
        <v>117.5373271706366</v>
      </c>
      <c r="BU26" s="50">
        <v>117.5373271706366</v>
      </c>
      <c r="BV26" s="50">
        <v>117.5373271706366</v>
      </c>
      <c r="BW26" s="50">
        <v>117.5373271706366</v>
      </c>
      <c r="BX26" s="50">
        <v>117.5373271706366</v>
      </c>
      <c r="BY26" s="50">
        <v>117.5373271706366</v>
      </c>
      <c r="BZ26" s="50">
        <v>118.93733956046626</v>
      </c>
      <c r="CA26" s="50">
        <v>118.93733956046626</v>
      </c>
      <c r="CB26" s="50">
        <v>122.26451270932492</v>
      </c>
      <c r="CC26" s="50">
        <v>122.26451270932492</v>
      </c>
      <c r="CD26" s="50">
        <v>122.26451270932492</v>
      </c>
      <c r="CE26" s="50">
        <v>122.26451270932492</v>
      </c>
      <c r="CF26" s="50">
        <v>124.07543992804868</v>
      </c>
      <c r="CG26" s="50">
        <v>123.39322385001792</v>
      </c>
      <c r="CH26" s="50">
        <v>123.39322385001792</v>
      </c>
      <c r="CI26" s="50">
        <v>123.39322385001792</v>
      </c>
      <c r="CJ26" s="50">
        <v>123.39322385001792</v>
      </c>
      <c r="CK26" s="50">
        <v>123.45818714560262</v>
      </c>
      <c r="CL26" s="50">
        <v>123.45818714560262</v>
      </c>
      <c r="CM26" s="50">
        <v>123.45818714560262</v>
      </c>
      <c r="CN26" s="50">
        <v>123.45818714560262</v>
      </c>
      <c r="CO26" s="50">
        <v>123.45818714560262</v>
      </c>
      <c r="CP26" s="50">
        <v>123.45818714560262</v>
      </c>
      <c r="CQ26" s="50">
        <v>123.45818714560262</v>
      </c>
      <c r="CR26" s="50">
        <v>123.45818714560262</v>
      </c>
      <c r="CS26" s="50">
        <v>123.45818714560262</v>
      </c>
      <c r="CT26" s="50">
        <v>122.89674044361642</v>
      </c>
      <c r="CU26" s="50">
        <v>122.89674044361642</v>
      </c>
      <c r="CV26" s="50">
        <v>122.89674044361642</v>
      </c>
      <c r="CW26" s="50">
        <v>122.89674044361642</v>
      </c>
      <c r="CX26" s="50">
        <v>122.89674044361642</v>
      </c>
      <c r="CY26" s="50">
        <v>123.18992235589013</v>
      </c>
      <c r="CZ26" s="50">
        <v>122.89674044361644</v>
      </c>
      <c r="DA26" s="50">
        <v>122.89674044361644</v>
      </c>
      <c r="DB26" s="50">
        <v>122.89674044361644</v>
      </c>
      <c r="DC26" s="50">
        <v>122.89674044361644</v>
      </c>
      <c r="DD26" s="50">
        <v>122.89674044361644</v>
      </c>
      <c r="DE26" s="50">
        <v>122.89674044361644</v>
      </c>
      <c r="DF26" s="50">
        <v>122.89674044361644</v>
      </c>
      <c r="DG26" s="50">
        <v>122.89674044361644</v>
      </c>
      <c r="DH26" s="50">
        <v>122.89674044361644</v>
      </c>
      <c r="DI26" s="50">
        <v>123.02222671684819</v>
      </c>
      <c r="DJ26" s="50">
        <v>122.89674044361645</v>
      </c>
      <c r="DK26" s="50">
        <v>122.89674044361645</v>
      </c>
      <c r="DL26" s="50">
        <v>122.89674044361645</v>
      </c>
      <c r="DM26" s="50">
        <v>122.89674044361645</v>
      </c>
      <c r="DN26" s="50">
        <v>122.89674044361645</v>
      </c>
      <c r="DO26" s="50">
        <v>122.89674044361645</v>
      </c>
      <c r="DP26" s="50">
        <v>122.89674044361645</v>
      </c>
      <c r="DQ26" s="50">
        <v>122.71061731450217</v>
      </c>
      <c r="DR26" s="50">
        <v>122.71061731450217</v>
      </c>
    </row>
    <row r="27" spans="1:122" s="42" customFormat="1" x14ac:dyDescent="0.35">
      <c r="B27" s="42">
        <v>141</v>
      </c>
      <c r="C27" s="37">
        <v>1410</v>
      </c>
      <c r="D27" s="40" t="s">
        <v>95</v>
      </c>
      <c r="E27" s="102">
        <v>17.7780236157529</v>
      </c>
      <c r="F27" s="41">
        <v>99.676741284578881</v>
      </c>
      <c r="G27" s="41">
        <v>99.524880691513033</v>
      </c>
      <c r="H27" s="41">
        <v>99.524880691513033</v>
      </c>
      <c r="I27" s="41">
        <v>99.524880691513033</v>
      </c>
      <c r="J27" s="41">
        <v>99.524880691513033</v>
      </c>
      <c r="K27" s="41">
        <v>99.676741284578881</v>
      </c>
      <c r="L27" s="41">
        <v>99.676741284578881</v>
      </c>
      <c r="M27" s="41">
        <v>99.676741284578881</v>
      </c>
      <c r="N27" s="41">
        <v>99.676741284578881</v>
      </c>
      <c r="O27" s="41">
        <v>101.17225693701776</v>
      </c>
      <c r="P27" s="41">
        <v>101.17225693701776</v>
      </c>
      <c r="Q27" s="41">
        <v>101.17225693701776</v>
      </c>
      <c r="R27" s="41">
        <v>102.36957020053106</v>
      </c>
      <c r="S27" s="41">
        <v>102.36957020053106</v>
      </c>
      <c r="T27" s="41">
        <v>102.70717914648644</v>
      </c>
      <c r="U27" s="41">
        <v>102.70717914648644</v>
      </c>
      <c r="V27" s="41">
        <v>102.70717914648644</v>
      </c>
      <c r="W27" s="41">
        <v>102.70717914648644</v>
      </c>
      <c r="X27" s="41">
        <v>102.70717914648644</v>
      </c>
      <c r="Y27" s="41">
        <v>103.53156581587189</v>
      </c>
      <c r="Z27" s="41">
        <v>104.04089659256688</v>
      </c>
      <c r="AA27" s="41">
        <v>104.04089659256688</v>
      </c>
      <c r="AB27" s="41">
        <v>104.04089659256688</v>
      </c>
      <c r="AC27" s="41">
        <v>104.04089659256688</v>
      </c>
      <c r="AD27" s="41">
        <v>104.04089659256688</v>
      </c>
      <c r="AE27" s="41">
        <v>104.04089659256688</v>
      </c>
      <c r="AF27" s="41">
        <v>104.04089659256688</v>
      </c>
      <c r="AG27" s="41">
        <v>104.04089659256688</v>
      </c>
      <c r="AH27" s="41">
        <v>104.04089659256688</v>
      </c>
      <c r="AI27" s="41">
        <v>104.04089659256688</v>
      </c>
      <c r="AJ27" s="41">
        <v>104.04089659256688</v>
      </c>
      <c r="AK27" s="41">
        <v>104.04089659256688</v>
      </c>
      <c r="AL27" s="41">
        <v>106.68532963208138</v>
      </c>
      <c r="AM27" s="41">
        <v>106.68532963208138</v>
      </c>
      <c r="AN27" s="41">
        <v>106.68532963208138</v>
      </c>
      <c r="AO27" s="41">
        <v>106.68532963208138</v>
      </c>
      <c r="AP27" s="41">
        <v>108.14966513398961</v>
      </c>
      <c r="AQ27" s="41">
        <v>108.14966513398961</v>
      </c>
      <c r="AR27" s="41">
        <v>108.14966513398961</v>
      </c>
      <c r="AS27" s="41">
        <v>108.14966513398961</v>
      </c>
      <c r="AT27" s="41">
        <v>108.14966513398961</v>
      </c>
      <c r="AU27" s="41">
        <v>108.21796531783043</v>
      </c>
      <c r="AV27" s="41">
        <v>108.68672142709288</v>
      </c>
      <c r="AW27" s="41">
        <v>108.68672142709288</v>
      </c>
      <c r="AX27" s="41">
        <v>108.68672142709288</v>
      </c>
      <c r="AY27" s="41">
        <v>108.68672142709288</v>
      </c>
      <c r="AZ27" s="41">
        <v>108.68672142709288</v>
      </c>
      <c r="BA27" s="41">
        <v>108.68672142709288</v>
      </c>
      <c r="BB27" s="41">
        <v>108.68672142709288</v>
      </c>
      <c r="BC27" s="41">
        <v>108.68672142709288</v>
      </c>
      <c r="BD27" s="41">
        <v>108.68672142709288</v>
      </c>
      <c r="BE27" s="41">
        <v>109.78788367472362</v>
      </c>
      <c r="BF27" s="41">
        <v>109.78788367472362</v>
      </c>
      <c r="BG27" s="41">
        <v>114.19778868118503</v>
      </c>
      <c r="BH27" s="41">
        <v>116.22384493276478</v>
      </c>
      <c r="BI27" s="41">
        <v>116.22384493276478</v>
      </c>
      <c r="BJ27" s="41">
        <v>116.22384493276478</v>
      </c>
      <c r="BK27" s="41">
        <v>116.22384493276478</v>
      </c>
      <c r="BL27" s="41">
        <v>116.22384493276478</v>
      </c>
      <c r="BM27" s="41">
        <v>116.22384493276478</v>
      </c>
      <c r="BN27" s="41">
        <v>117.08523738229673</v>
      </c>
      <c r="BO27" s="41">
        <v>117.08523738229673</v>
      </c>
      <c r="BP27" s="41">
        <v>117.08523738229673</v>
      </c>
      <c r="BQ27" s="41">
        <v>117.08523738229673</v>
      </c>
      <c r="BR27" s="41">
        <v>117.08523738229673</v>
      </c>
      <c r="BS27" s="41">
        <v>117.08523738229673</v>
      </c>
      <c r="BT27" s="41">
        <v>117.5373271706366</v>
      </c>
      <c r="BU27" s="41">
        <v>117.5373271706366</v>
      </c>
      <c r="BV27" s="41">
        <v>117.5373271706366</v>
      </c>
      <c r="BW27" s="41">
        <v>117.5373271706366</v>
      </c>
      <c r="BX27" s="41">
        <v>117.5373271706366</v>
      </c>
      <c r="BY27" s="41">
        <v>117.5373271706366</v>
      </c>
      <c r="BZ27" s="41">
        <v>118.93733956046626</v>
      </c>
      <c r="CA27" s="41">
        <v>118.93733956046626</v>
      </c>
      <c r="CB27" s="41">
        <v>122.26451270932492</v>
      </c>
      <c r="CC27" s="41">
        <v>122.26451270932492</v>
      </c>
      <c r="CD27" s="41">
        <v>122.26451270932492</v>
      </c>
      <c r="CE27" s="41">
        <v>122.26451270932492</v>
      </c>
      <c r="CF27" s="41">
        <v>124.07543992804868</v>
      </c>
      <c r="CG27" s="41">
        <v>123.39322385001792</v>
      </c>
      <c r="CH27" s="41">
        <v>123.39322385001792</v>
      </c>
      <c r="CI27" s="41">
        <v>123.39322385001792</v>
      </c>
      <c r="CJ27" s="41">
        <v>123.39322385001792</v>
      </c>
      <c r="CK27" s="41">
        <v>123.45818714560262</v>
      </c>
      <c r="CL27" s="41">
        <v>123.45818714560262</v>
      </c>
      <c r="CM27" s="41">
        <v>123.45818714560262</v>
      </c>
      <c r="CN27" s="41">
        <v>123.45818714560262</v>
      </c>
      <c r="CO27" s="41">
        <v>123.45818714560262</v>
      </c>
      <c r="CP27" s="41">
        <v>123.45818714560262</v>
      </c>
      <c r="CQ27" s="41">
        <v>123.45818714560262</v>
      </c>
      <c r="CR27" s="41">
        <v>123.45818714560262</v>
      </c>
      <c r="CS27" s="41">
        <v>123.45818714560262</v>
      </c>
      <c r="CT27" s="41">
        <v>122.89674044361642</v>
      </c>
      <c r="CU27" s="41">
        <v>122.89674044361642</v>
      </c>
      <c r="CV27" s="41">
        <v>122.89674044361642</v>
      </c>
      <c r="CW27" s="41">
        <v>122.89674044361642</v>
      </c>
      <c r="CX27" s="41">
        <v>122.89674044361642</v>
      </c>
      <c r="CY27" s="41">
        <v>123.18992235589013</v>
      </c>
      <c r="CZ27" s="41">
        <v>122.89674044361644</v>
      </c>
      <c r="DA27" s="41">
        <v>122.89674044361644</v>
      </c>
      <c r="DB27" s="41">
        <v>122.89674044361644</v>
      </c>
      <c r="DC27" s="41">
        <v>122.89674044361644</v>
      </c>
      <c r="DD27" s="41">
        <v>122.89674044361644</v>
      </c>
      <c r="DE27" s="41">
        <v>122.89674044361644</v>
      </c>
      <c r="DF27" s="41">
        <v>122.89674044361644</v>
      </c>
      <c r="DG27" s="41">
        <v>122.89674044361644</v>
      </c>
      <c r="DH27" s="41">
        <v>122.89674044361644</v>
      </c>
      <c r="DI27" s="41">
        <v>123.02222671684819</v>
      </c>
      <c r="DJ27" s="41">
        <v>122.89674044361645</v>
      </c>
      <c r="DK27" s="41">
        <v>122.89674044361645</v>
      </c>
      <c r="DL27" s="41">
        <v>122.89674044361645</v>
      </c>
      <c r="DM27" s="41">
        <v>122.89674044361645</v>
      </c>
      <c r="DN27" s="41">
        <v>122.89674044361645</v>
      </c>
      <c r="DO27" s="41">
        <v>122.89674044361645</v>
      </c>
      <c r="DP27" s="41">
        <v>122.89674044361645</v>
      </c>
      <c r="DQ27" s="41">
        <v>122.71061731450217</v>
      </c>
      <c r="DR27" s="41">
        <v>122.71061731450217</v>
      </c>
    </row>
    <row r="28" spans="1:122" s="26" customFormat="1" ht="19.149999999999999" customHeight="1" x14ac:dyDescent="0.35">
      <c r="A28" s="27">
        <v>15</v>
      </c>
      <c r="B28" s="27"/>
      <c r="C28" s="27"/>
      <c r="D28" s="29" t="s">
        <v>17</v>
      </c>
      <c r="E28" s="104">
        <v>15.1431032759355</v>
      </c>
      <c r="F28" s="50">
        <v>98.436499660085815</v>
      </c>
      <c r="G28" s="50">
        <v>98.436499660085815</v>
      </c>
      <c r="H28" s="50">
        <v>98.436499660085815</v>
      </c>
      <c r="I28" s="50">
        <v>98.436499660085815</v>
      </c>
      <c r="J28" s="50">
        <v>98.436499660085815</v>
      </c>
      <c r="K28" s="50">
        <v>98.436499660085815</v>
      </c>
      <c r="L28" s="50">
        <v>98.436499660085815</v>
      </c>
      <c r="M28" s="50">
        <v>100.69311277061186</v>
      </c>
      <c r="N28" s="50">
        <v>100.69311277061186</v>
      </c>
      <c r="O28" s="50">
        <v>100.69311277061186</v>
      </c>
      <c r="P28" s="50">
        <v>104.43258203378186</v>
      </c>
      <c r="Q28" s="50">
        <v>104.43258203378186</v>
      </c>
      <c r="R28" s="50">
        <v>104.43258203378186</v>
      </c>
      <c r="S28" s="50">
        <v>104.43258203378186</v>
      </c>
      <c r="T28" s="50">
        <v>104.43258203378186</v>
      </c>
      <c r="U28" s="50">
        <v>104.43258203378186</v>
      </c>
      <c r="V28" s="50">
        <v>104.43258203378186</v>
      </c>
      <c r="W28" s="50">
        <v>104.43258203378186</v>
      </c>
      <c r="X28" s="50">
        <v>104.43258203378186</v>
      </c>
      <c r="Y28" s="50">
        <v>104.43258203378186</v>
      </c>
      <c r="Z28" s="50">
        <v>104.43258203378186</v>
      </c>
      <c r="AA28" s="50">
        <v>104.43258203378186</v>
      </c>
      <c r="AB28" s="50">
        <v>104.43258203378186</v>
      </c>
      <c r="AC28" s="50">
        <v>104.43258203378186</v>
      </c>
      <c r="AD28" s="50">
        <v>104.43258203378186</v>
      </c>
      <c r="AE28" s="50">
        <v>104.43258203378186</v>
      </c>
      <c r="AF28" s="50">
        <v>104.43258203378186</v>
      </c>
      <c r="AG28" s="50">
        <v>104.43258203378186</v>
      </c>
      <c r="AH28" s="50">
        <v>104.43258203378186</v>
      </c>
      <c r="AI28" s="50">
        <v>104.43258203378186</v>
      </c>
      <c r="AJ28" s="50">
        <v>104.43258203378186</v>
      </c>
      <c r="AK28" s="50">
        <v>104.43258203378186</v>
      </c>
      <c r="AL28" s="50">
        <v>104.43258203378186</v>
      </c>
      <c r="AM28" s="50">
        <v>104.43258203378186</v>
      </c>
      <c r="AN28" s="50">
        <v>104.43258203378186</v>
      </c>
      <c r="AO28" s="50">
        <v>104.43258203378186</v>
      </c>
      <c r="AP28" s="50">
        <v>104.43258203378186</v>
      </c>
      <c r="AQ28" s="50">
        <v>104.43258203378186</v>
      </c>
      <c r="AR28" s="50">
        <v>104.43258203378186</v>
      </c>
      <c r="AS28" s="50">
        <v>104.43258203378186</v>
      </c>
      <c r="AT28" s="50">
        <v>104.43258203378186</v>
      </c>
      <c r="AU28" s="50">
        <v>104.43258203378186</v>
      </c>
      <c r="AV28" s="50">
        <v>104.43258203378186</v>
      </c>
      <c r="AW28" s="50">
        <v>104.43258203378186</v>
      </c>
      <c r="AX28" s="50">
        <v>104.43258203378186</v>
      </c>
      <c r="AY28" s="50">
        <v>104.43258203378186</v>
      </c>
      <c r="AZ28" s="50">
        <v>104.43258203378186</v>
      </c>
      <c r="BA28" s="50">
        <v>104.43258203378186</v>
      </c>
      <c r="BB28" s="50">
        <v>104.43258203378186</v>
      </c>
      <c r="BC28" s="50">
        <v>104.43258203378186</v>
      </c>
      <c r="BD28" s="50">
        <v>104.43258203378186</v>
      </c>
      <c r="BE28" s="50">
        <v>98.082621835683938</v>
      </c>
      <c r="BF28" s="50">
        <v>98.082621835683938</v>
      </c>
      <c r="BG28" s="50">
        <v>98.082621835683938</v>
      </c>
      <c r="BH28" s="50">
        <v>98.082621835683938</v>
      </c>
      <c r="BI28" s="50">
        <v>98.082621835683938</v>
      </c>
      <c r="BJ28" s="50">
        <v>98.082621835683938</v>
      </c>
      <c r="BK28" s="50">
        <v>98.082621835683938</v>
      </c>
      <c r="BL28" s="50">
        <v>98.082621835683938</v>
      </c>
      <c r="BM28" s="50">
        <v>98.082621835683938</v>
      </c>
      <c r="BN28" s="50">
        <v>98.082621835683938</v>
      </c>
      <c r="BO28" s="50">
        <v>98.082621835683938</v>
      </c>
      <c r="BP28" s="50">
        <v>98.082621835683938</v>
      </c>
      <c r="BQ28" s="50">
        <v>98.082621835683938</v>
      </c>
      <c r="BR28" s="50">
        <v>99.445402774588331</v>
      </c>
      <c r="BS28" s="50">
        <v>99.445402774588331</v>
      </c>
      <c r="BT28" s="50">
        <v>99.445402774588331</v>
      </c>
      <c r="BU28" s="50">
        <v>99.445402774588331</v>
      </c>
      <c r="BV28" s="50">
        <v>99.445402774588331</v>
      </c>
      <c r="BW28" s="50">
        <v>99.445402774588331</v>
      </c>
      <c r="BX28" s="50">
        <v>99.445402774588331</v>
      </c>
      <c r="BY28" s="50">
        <v>99.445402774588331</v>
      </c>
      <c r="BZ28" s="50">
        <v>99.445402774588331</v>
      </c>
      <c r="CA28" s="50">
        <v>99.445402774588331</v>
      </c>
      <c r="CB28" s="50">
        <v>102.5590688132436</v>
      </c>
      <c r="CC28" s="50">
        <v>102.5590688132436</v>
      </c>
      <c r="CD28" s="50">
        <v>102.5590688132436</v>
      </c>
      <c r="CE28" s="50">
        <v>108.70913772458974</v>
      </c>
      <c r="CF28" s="50">
        <v>108.70913772458974</v>
      </c>
      <c r="CG28" s="50">
        <v>108.70913772458974</v>
      </c>
      <c r="CH28" s="50">
        <v>108.70913772458974</v>
      </c>
      <c r="CI28" s="50">
        <v>108.70913772458974</v>
      </c>
      <c r="CJ28" s="50">
        <v>108.70913772458974</v>
      </c>
      <c r="CK28" s="50">
        <v>108.70913772458974</v>
      </c>
      <c r="CL28" s="50">
        <v>111.3841898649453</v>
      </c>
      <c r="CM28" s="50">
        <v>109.93600142400169</v>
      </c>
      <c r="CN28" s="50">
        <v>109.93600142400169</v>
      </c>
      <c r="CO28" s="50">
        <v>109.93600142400169</v>
      </c>
      <c r="CP28" s="50">
        <v>109.93600142400169</v>
      </c>
      <c r="CQ28" s="50">
        <v>109.93600142400169</v>
      </c>
      <c r="CR28" s="50">
        <v>109.93600142400169</v>
      </c>
      <c r="CS28" s="50">
        <v>109.93600142400169</v>
      </c>
      <c r="CT28" s="50">
        <v>109.93600142400169</v>
      </c>
      <c r="CU28" s="50">
        <v>109.93600142400169</v>
      </c>
      <c r="CV28" s="50">
        <v>109.93600142400169</v>
      </c>
      <c r="CW28" s="50">
        <v>109.93600142400169</v>
      </c>
      <c r="CX28" s="50">
        <v>109.93600142400169</v>
      </c>
      <c r="CY28" s="50">
        <v>109.93600142400169</v>
      </c>
      <c r="CZ28" s="50">
        <v>109.93600142400169</v>
      </c>
      <c r="DA28" s="50">
        <v>109.93600142400169</v>
      </c>
      <c r="DB28" s="50">
        <v>109.93600142400169</v>
      </c>
      <c r="DC28" s="50">
        <v>109.93600142400169</v>
      </c>
      <c r="DD28" s="50">
        <v>109.93600142400169</v>
      </c>
      <c r="DE28" s="50">
        <v>109.93600142400169</v>
      </c>
      <c r="DF28" s="50">
        <v>109.93600142400169</v>
      </c>
      <c r="DG28" s="50">
        <v>109.93600142400169</v>
      </c>
      <c r="DH28" s="50">
        <v>109.93600142400169</v>
      </c>
      <c r="DI28" s="50">
        <v>109.93600142400169</v>
      </c>
      <c r="DJ28" s="50">
        <v>109.93600142400169</v>
      </c>
      <c r="DK28" s="50">
        <v>109.93600142400169</v>
      </c>
      <c r="DL28" s="50">
        <v>109.93600142400169</v>
      </c>
      <c r="DM28" s="50">
        <v>109.93600142400169</v>
      </c>
      <c r="DN28" s="50">
        <v>109.93600142400169</v>
      </c>
      <c r="DO28" s="50">
        <v>109.93600142400169</v>
      </c>
      <c r="DP28" s="50">
        <v>109.93600142400169</v>
      </c>
      <c r="DQ28" s="50">
        <v>109.93600142400169</v>
      </c>
      <c r="DR28" s="50">
        <v>109.93600142400169</v>
      </c>
    </row>
    <row r="29" spans="1:122" s="35" customFormat="1" x14ac:dyDescent="0.35">
      <c r="B29" s="35">
        <v>152</v>
      </c>
      <c r="C29" s="31" t="s">
        <v>96</v>
      </c>
      <c r="D29" s="51" t="s">
        <v>97</v>
      </c>
      <c r="E29" s="102">
        <v>15.1431032759355</v>
      </c>
      <c r="F29" s="36">
        <v>98.436499660085815</v>
      </c>
      <c r="G29" s="36">
        <v>98.436499660085815</v>
      </c>
      <c r="H29" s="36">
        <v>98.436499660085815</v>
      </c>
      <c r="I29" s="36">
        <v>98.436499660085815</v>
      </c>
      <c r="J29" s="36">
        <v>98.436499660085815</v>
      </c>
      <c r="K29" s="36">
        <v>98.436499660085815</v>
      </c>
      <c r="L29" s="36">
        <v>98.436499660085815</v>
      </c>
      <c r="M29" s="36">
        <v>100.69311277061186</v>
      </c>
      <c r="N29" s="36">
        <v>100.69311277061186</v>
      </c>
      <c r="O29" s="36">
        <v>100.69311277061186</v>
      </c>
      <c r="P29" s="36">
        <v>104.43258203378186</v>
      </c>
      <c r="Q29" s="36">
        <v>104.43258203378186</v>
      </c>
      <c r="R29" s="36">
        <v>104.43258203378186</v>
      </c>
      <c r="S29" s="36">
        <v>104.43258203378186</v>
      </c>
      <c r="T29" s="36">
        <v>104.43258203378186</v>
      </c>
      <c r="U29" s="36">
        <v>104.43258203378186</v>
      </c>
      <c r="V29" s="36">
        <v>104.43258203378186</v>
      </c>
      <c r="W29" s="36">
        <v>104.43258203378186</v>
      </c>
      <c r="X29" s="36">
        <v>104.43258203378186</v>
      </c>
      <c r="Y29" s="36">
        <v>104.43258203378186</v>
      </c>
      <c r="Z29" s="36">
        <v>104.43258203378186</v>
      </c>
      <c r="AA29" s="36">
        <v>104.43258203378186</v>
      </c>
      <c r="AB29" s="36">
        <v>104.43258203378186</v>
      </c>
      <c r="AC29" s="36">
        <v>104.43258203378186</v>
      </c>
      <c r="AD29" s="36">
        <v>104.43258203378186</v>
      </c>
      <c r="AE29" s="36">
        <v>104.43258203378186</v>
      </c>
      <c r="AF29" s="36">
        <v>104.43258203378186</v>
      </c>
      <c r="AG29" s="36">
        <v>104.43258203378186</v>
      </c>
      <c r="AH29" s="36">
        <v>104.43258203378186</v>
      </c>
      <c r="AI29" s="36">
        <v>104.43258203378186</v>
      </c>
      <c r="AJ29" s="36">
        <v>104.43258203378186</v>
      </c>
      <c r="AK29" s="36">
        <v>104.43258203378186</v>
      </c>
      <c r="AL29" s="36">
        <v>104.43258203378186</v>
      </c>
      <c r="AM29" s="36">
        <v>104.43258203378186</v>
      </c>
      <c r="AN29" s="36">
        <v>104.43258203378186</v>
      </c>
      <c r="AO29" s="36">
        <v>104.43258203378186</v>
      </c>
      <c r="AP29" s="36">
        <v>104.43258203378186</v>
      </c>
      <c r="AQ29" s="36">
        <v>104.43258203378186</v>
      </c>
      <c r="AR29" s="36">
        <v>104.43258203378186</v>
      </c>
      <c r="AS29" s="36">
        <v>104.43258203378186</v>
      </c>
      <c r="AT29" s="36">
        <v>104.43258203378186</v>
      </c>
      <c r="AU29" s="36">
        <v>104.43258203378186</v>
      </c>
      <c r="AV29" s="36">
        <v>104.43258203378186</v>
      </c>
      <c r="AW29" s="36">
        <v>104.43258203378186</v>
      </c>
      <c r="AX29" s="36">
        <v>104.43258203378186</v>
      </c>
      <c r="AY29" s="36">
        <v>104.43258203378186</v>
      </c>
      <c r="AZ29" s="36">
        <v>104.43258203378186</v>
      </c>
      <c r="BA29" s="36">
        <v>104.43258203378186</v>
      </c>
      <c r="BB29" s="36">
        <v>104.43258203378186</v>
      </c>
      <c r="BC29" s="36">
        <v>104.43258203378186</v>
      </c>
      <c r="BD29" s="36">
        <v>104.43258203378186</v>
      </c>
      <c r="BE29" s="36">
        <v>98.082621835683938</v>
      </c>
      <c r="BF29" s="36">
        <v>98.082621835683938</v>
      </c>
      <c r="BG29" s="36">
        <v>98.082621835683938</v>
      </c>
      <c r="BH29" s="36">
        <v>98.082621835683938</v>
      </c>
      <c r="BI29" s="36">
        <v>98.082621835683938</v>
      </c>
      <c r="BJ29" s="36">
        <v>98.082621835683938</v>
      </c>
      <c r="BK29" s="36">
        <v>98.082621835683938</v>
      </c>
      <c r="BL29" s="36">
        <v>98.082621835683938</v>
      </c>
      <c r="BM29" s="36">
        <v>98.082621835683938</v>
      </c>
      <c r="BN29" s="36">
        <v>98.082621835683938</v>
      </c>
      <c r="BO29" s="36">
        <v>98.082621835683938</v>
      </c>
      <c r="BP29" s="36">
        <v>98.082621835683938</v>
      </c>
      <c r="BQ29" s="36">
        <v>98.082621835683938</v>
      </c>
      <c r="BR29" s="36">
        <v>99.445402774588331</v>
      </c>
      <c r="BS29" s="36">
        <v>99.445402774588331</v>
      </c>
      <c r="BT29" s="36">
        <v>99.445402774588331</v>
      </c>
      <c r="BU29" s="36">
        <v>99.445402774588331</v>
      </c>
      <c r="BV29" s="36">
        <v>99.445402774588331</v>
      </c>
      <c r="BW29" s="36">
        <v>99.445402774588331</v>
      </c>
      <c r="BX29" s="36">
        <v>99.445402774588331</v>
      </c>
      <c r="BY29" s="36">
        <v>99.445402774588331</v>
      </c>
      <c r="BZ29" s="36">
        <v>99.445402774588331</v>
      </c>
      <c r="CA29" s="36">
        <v>99.445402774588331</v>
      </c>
      <c r="CB29" s="36">
        <v>102.5590688132436</v>
      </c>
      <c r="CC29" s="36">
        <v>102.5590688132436</v>
      </c>
      <c r="CD29" s="36">
        <v>102.5590688132436</v>
      </c>
      <c r="CE29" s="36">
        <v>108.70913772458974</v>
      </c>
      <c r="CF29" s="36">
        <v>108.70913772458974</v>
      </c>
      <c r="CG29" s="36">
        <v>108.70913772458974</v>
      </c>
      <c r="CH29" s="36">
        <v>108.70913772458974</v>
      </c>
      <c r="CI29" s="36">
        <v>108.70913772458974</v>
      </c>
      <c r="CJ29" s="36">
        <v>108.70913772458974</v>
      </c>
      <c r="CK29" s="36">
        <v>108.70913772458974</v>
      </c>
      <c r="CL29" s="36">
        <v>111.3841898649453</v>
      </c>
      <c r="CM29" s="36">
        <v>109.93600142400169</v>
      </c>
      <c r="CN29" s="36">
        <v>109.93600142400169</v>
      </c>
      <c r="CO29" s="36">
        <v>109.93600142400169</v>
      </c>
      <c r="CP29" s="36">
        <v>109.93600142400169</v>
      </c>
      <c r="CQ29" s="36">
        <v>109.93600142400169</v>
      </c>
      <c r="CR29" s="36">
        <v>109.93600142400169</v>
      </c>
      <c r="CS29" s="36">
        <v>109.93600142400169</v>
      </c>
      <c r="CT29" s="36">
        <v>109.93600142400169</v>
      </c>
      <c r="CU29" s="36">
        <v>109.93600142400169</v>
      </c>
      <c r="CV29" s="36">
        <v>109.93600142400169</v>
      </c>
      <c r="CW29" s="36">
        <v>109.93600142400169</v>
      </c>
      <c r="CX29" s="36">
        <v>109.93600142400169</v>
      </c>
      <c r="CY29" s="36">
        <v>109.93600142400169</v>
      </c>
      <c r="CZ29" s="36">
        <v>109.93600142400169</v>
      </c>
      <c r="DA29" s="36">
        <v>109.93600142400169</v>
      </c>
      <c r="DB29" s="36">
        <v>109.93600142400169</v>
      </c>
      <c r="DC29" s="36">
        <v>109.93600142400169</v>
      </c>
      <c r="DD29" s="36">
        <v>109.93600142400169</v>
      </c>
      <c r="DE29" s="36">
        <v>109.93600142400169</v>
      </c>
      <c r="DF29" s="36">
        <v>109.93600142400169</v>
      </c>
      <c r="DG29" s="36">
        <v>109.93600142400169</v>
      </c>
      <c r="DH29" s="36">
        <v>109.93600142400169</v>
      </c>
      <c r="DI29" s="36">
        <v>109.93600142400169</v>
      </c>
      <c r="DJ29" s="36">
        <v>109.93600142400169</v>
      </c>
      <c r="DK29" s="36">
        <v>109.93600142400169</v>
      </c>
      <c r="DL29" s="36">
        <v>109.93600142400169</v>
      </c>
      <c r="DM29" s="36">
        <v>109.93600142400169</v>
      </c>
      <c r="DN29" s="36">
        <v>109.93600142400169</v>
      </c>
      <c r="DO29" s="36">
        <v>109.93600142400169</v>
      </c>
      <c r="DP29" s="36">
        <v>109.93600142400169</v>
      </c>
      <c r="DQ29" s="36">
        <v>109.93600142400169</v>
      </c>
      <c r="DR29" s="36">
        <v>109.93600142400169</v>
      </c>
    </row>
    <row r="30" spans="1:122" s="55" customFormat="1" x14ac:dyDescent="0.35">
      <c r="A30" s="52">
        <v>16</v>
      </c>
      <c r="B30" s="52"/>
      <c r="C30" s="52"/>
      <c r="D30" s="53" t="s">
        <v>18</v>
      </c>
      <c r="E30" s="105">
        <v>2.6298326565708301</v>
      </c>
      <c r="F30" s="54">
        <v>96.893736905907048</v>
      </c>
      <c r="G30" s="54">
        <v>98.423197802967792</v>
      </c>
      <c r="H30" s="54">
        <v>98.436689329750564</v>
      </c>
      <c r="I30" s="54">
        <v>99.352970758996804</v>
      </c>
      <c r="J30" s="54">
        <v>101.02769380318277</v>
      </c>
      <c r="K30" s="54">
        <v>100.82900087527726</v>
      </c>
      <c r="L30" s="54">
        <v>100.84761199151214</v>
      </c>
      <c r="M30" s="54">
        <v>100.8078325009395</v>
      </c>
      <c r="N30" s="54">
        <v>100.83039213380607</v>
      </c>
      <c r="O30" s="54">
        <v>100.86274683966158</v>
      </c>
      <c r="P30" s="54">
        <v>100.87079095258294</v>
      </c>
      <c r="Q30" s="54">
        <v>100.81733610541563</v>
      </c>
      <c r="R30" s="54">
        <v>100.83453696817183</v>
      </c>
      <c r="S30" s="54">
        <v>100.84194376848924</v>
      </c>
      <c r="T30" s="54">
        <v>100.83180248248034</v>
      </c>
      <c r="U30" s="54">
        <v>100.89416907401612</v>
      </c>
      <c r="V30" s="54">
        <v>99.507250042964458</v>
      </c>
      <c r="W30" s="54">
        <v>97.632343721746452</v>
      </c>
      <c r="X30" s="54">
        <v>97.513565519971749</v>
      </c>
      <c r="Y30" s="54">
        <v>95.611951482398894</v>
      </c>
      <c r="Z30" s="54">
        <v>95.789282505012963</v>
      </c>
      <c r="AA30" s="54">
        <v>96.874876806039438</v>
      </c>
      <c r="AB30" s="54">
        <v>96.920328017847837</v>
      </c>
      <c r="AC30" s="54">
        <v>98.701359924689882</v>
      </c>
      <c r="AD30" s="54">
        <v>98.579154021407177</v>
      </c>
      <c r="AE30" s="54">
        <v>98.531307885934467</v>
      </c>
      <c r="AF30" s="54">
        <v>98.640894757876794</v>
      </c>
      <c r="AG30" s="54">
        <v>98.606138839324089</v>
      </c>
      <c r="AH30" s="54">
        <v>98.547200717791839</v>
      </c>
      <c r="AI30" s="54">
        <v>98.507319640574622</v>
      </c>
      <c r="AJ30" s="54">
        <v>98.489050352174289</v>
      </c>
      <c r="AK30" s="54">
        <v>98.442652325349329</v>
      </c>
      <c r="AL30" s="54">
        <v>98.494927043126793</v>
      </c>
      <c r="AM30" s="54">
        <v>99.741861436779431</v>
      </c>
      <c r="AN30" s="54">
        <v>99.786686926399909</v>
      </c>
      <c r="AO30" s="54">
        <v>99.729308264129941</v>
      </c>
      <c r="AP30" s="54">
        <v>99.67796636473922</v>
      </c>
      <c r="AQ30" s="54">
        <v>99.673597846079261</v>
      </c>
      <c r="AR30" s="54">
        <v>99.644581648224673</v>
      </c>
      <c r="AS30" s="54">
        <v>99.333921683999606</v>
      </c>
      <c r="AT30" s="54">
        <v>99.335876095142268</v>
      </c>
      <c r="AU30" s="54">
        <v>99.302657615663591</v>
      </c>
      <c r="AV30" s="54">
        <v>99.309506989734118</v>
      </c>
      <c r="AW30" s="54">
        <v>99.303240824469611</v>
      </c>
      <c r="AX30" s="54">
        <v>99.454006754871145</v>
      </c>
      <c r="AY30" s="54">
        <v>99.473882851027867</v>
      </c>
      <c r="AZ30" s="54">
        <v>99.482707733663986</v>
      </c>
      <c r="BA30" s="54">
        <v>99.399555603659479</v>
      </c>
      <c r="BB30" s="54">
        <v>99.34549963789398</v>
      </c>
      <c r="BC30" s="54">
        <v>99.304322816770622</v>
      </c>
      <c r="BD30" s="54">
        <v>99.332152309747556</v>
      </c>
      <c r="BE30" s="54">
        <v>99.371292000506998</v>
      </c>
      <c r="BF30" s="54">
        <v>99.356756244434592</v>
      </c>
      <c r="BG30" s="54">
        <v>99.28685042740247</v>
      </c>
      <c r="BH30" s="54">
        <v>99.326577889651404</v>
      </c>
      <c r="BI30" s="54">
        <v>99.288080985023001</v>
      </c>
      <c r="BJ30" s="54">
        <v>99.280995964912677</v>
      </c>
      <c r="BK30" s="54">
        <v>99.21758673757904</v>
      </c>
      <c r="BL30" s="54">
        <v>99.102948630071623</v>
      </c>
      <c r="BM30" s="54">
        <v>99.08251185954947</v>
      </c>
      <c r="BN30" s="54">
        <v>99.102159553659973</v>
      </c>
      <c r="BO30" s="54">
        <v>99.07705158819023</v>
      </c>
      <c r="BP30" s="54">
        <v>99.066488159223141</v>
      </c>
      <c r="BQ30" s="54">
        <v>99.147347705565579</v>
      </c>
      <c r="BR30" s="54">
        <v>99.100874605374699</v>
      </c>
      <c r="BS30" s="54">
        <v>99.106563055846919</v>
      </c>
      <c r="BT30" s="54">
        <v>99.063520006024845</v>
      </c>
      <c r="BU30" s="54">
        <v>99.03981665860681</v>
      </c>
      <c r="BV30" s="54">
        <v>99.163454980113656</v>
      </c>
      <c r="BW30" s="54">
        <v>99.084329086967671</v>
      </c>
      <c r="BX30" s="54">
        <v>99.233297812848534</v>
      </c>
      <c r="BY30" s="54">
        <v>99.41429863249769</v>
      </c>
      <c r="BZ30" s="54">
        <v>99.482911318563453</v>
      </c>
      <c r="CA30" s="54">
        <v>99.545652729319372</v>
      </c>
      <c r="CB30" s="54">
        <v>99.534760272867686</v>
      </c>
      <c r="CC30" s="54">
        <v>99.530076842735212</v>
      </c>
      <c r="CD30" s="54">
        <v>99.434315160483536</v>
      </c>
      <c r="CE30" s="54">
        <v>99.325460699723664</v>
      </c>
      <c r="CF30" s="54">
        <v>99.329816601556018</v>
      </c>
      <c r="CG30" s="54">
        <v>99.317315400751795</v>
      </c>
      <c r="CH30" s="54">
        <v>99.409824933585014</v>
      </c>
      <c r="CI30" s="54">
        <v>102.10404447873198</v>
      </c>
      <c r="CJ30" s="54">
        <v>102.077911633499</v>
      </c>
      <c r="CK30" s="54">
        <v>102.04277088160342</v>
      </c>
      <c r="CL30" s="54">
        <v>101.9669485972078</v>
      </c>
      <c r="CM30" s="54">
        <v>102.01248177215793</v>
      </c>
      <c r="CN30" s="54">
        <v>102.09152647886437</v>
      </c>
      <c r="CO30" s="54">
        <v>103.43983741783488</v>
      </c>
      <c r="CP30" s="54">
        <v>103.48246861621402</v>
      </c>
      <c r="CQ30" s="54">
        <v>103.48025904133416</v>
      </c>
      <c r="CR30" s="54">
        <v>104.71464177619674</v>
      </c>
      <c r="CS30" s="54">
        <v>104.82468882129515</v>
      </c>
      <c r="CT30" s="54">
        <v>104.85992019724711</v>
      </c>
      <c r="CU30" s="54">
        <v>104.74315810711195</v>
      </c>
      <c r="CV30" s="54">
        <v>104.6925353085074</v>
      </c>
      <c r="CW30" s="54">
        <v>102.94496396839877</v>
      </c>
      <c r="CX30" s="54">
        <v>102.87781564163473</v>
      </c>
      <c r="CY30" s="54">
        <v>102.90680519948368</v>
      </c>
      <c r="CZ30" s="54">
        <v>101.3666674798222</v>
      </c>
      <c r="DA30" s="54">
        <v>99.74110679642682</v>
      </c>
      <c r="DB30" s="54">
        <v>99.392029197836095</v>
      </c>
      <c r="DC30" s="54">
        <v>98.578207465262025</v>
      </c>
      <c r="DD30" s="54">
        <v>98.066102729338297</v>
      </c>
      <c r="DE30" s="54">
        <v>98.409744212881861</v>
      </c>
      <c r="DF30" s="54">
        <v>101.08599155193669</v>
      </c>
      <c r="DG30" s="54">
        <v>96.963233337413612</v>
      </c>
      <c r="DH30" s="54">
        <v>96.510385200787354</v>
      </c>
      <c r="DI30" s="54">
        <v>96.436026252797944</v>
      </c>
      <c r="DJ30" s="54">
        <v>96.405630178565985</v>
      </c>
      <c r="DK30" s="54">
        <v>96.603484546723791</v>
      </c>
      <c r="DL30" s="54">
        <v>97.949295510296594</v>
      </c>
      <c r="DM30" s="54">
        <v>97.867008876615969</v>
      </c>
      <c r="DN30" s="54">
        <v>98.073543105469724</v>
      </c>
      <c r="DO30" s="54">
        <v>98.073705637696136</v>
      </c>
      <c r="DP30" s="54">
        <v>106.28877585293954</v>
      </c>
      <c r="DQ30" s="54">
        <v>106.30087111402987</v>
      </c>
      <c r="DR30" s="54">
        <v>106.61656312627349</v>
      </c>
    </row>
    <row r="31" spans="1:122" s="42" customFormat="1" x14ac:dyDescent="0.35">
      <c r="B31" s="42">
        <v>162</v>
      </c>
      <c r="C31" s="37">
        <v>1622</v>
      </c>
      <c r="D31" s="40" t="s">
        <v>99</v>
      </c>
      <c r="E31" s="102">
        <v>2.6298326565708301</v>
      </c>
      <c r="F31" s="41">
        <v>96.893736905907048</v>
      </c>
      <c r="G31" s="41">
        <v>98.423197802967792</v>
      </c>
      <c r="H31" s="41">
        <v>98.436689329750564</v>
      </c>
      <c r="I31" s="41">
        <v>99.352970758996804</v>
      </c>
      <c r="J31" s="41">
        <v>101.02769380318277</v>
      </c>
      <c r="K31" s="41">
        <v>100.82900087527726</v>
      </c>
      <c r="L31" s="41">
        <v>100.84761199151214</v>
      </c>
      <c r="M31" s="41">
        <v>100.8078325009395</v>
      </c>
      <c r="N31" s="41">
        <v>100.83039213380607</v>
      </c>
      <c r="O31" s="41">
        <v>100.86274683966158</v>
      </c>
      <c r="P31" s="41">
        <v>100.87079095258294</v>
      </c>
      <c r="Q31" s="41">
        <v>100.81733610541563</v>
      </c>
      <c r="R31" s="41">
        <v>100.83453696817183</v>
      </c>
      <c r="S31" s="41">
        <v>100.84194376848924</v>
      </c>
      <c r="T31" s="41">
        <v>100.83180248248034</v>
      </c>
      <c r="U31" s="41">
        <v>100.89416907401612</v>
      </c>
      <c r="V31" s="41">
        <v>99.507250042964458</v>
      </c>
      <c r="W31" s="41">
        <v>97.632343721746452</v>
      </c>
      <c r="X31" s="41">
        <v>97.513565519971749</v>
      </c>
      <c r="Y31" s="41">
        <v>95.611951482398894</v>
      </c>
      <c r="Z31" s="41">
        <v>95.789282505012963</v>
      </c>
      <c r="AA31" s="41">
        <v>96.874876806039438</v>
      </c>
      <c r="AB31" s="41">
        <v>96.920328017847837</v>
      </c>
      <c r="AC31" s="41">
        <v>98.701359924689882</v>
      </c>
      <c r="AD31" s="41">
        <v>98.579154021407177</v>
      </c>
      <c r="AE31" s="41">
        <v>98.531307885934467</v>
      </c>
      <c r="AF31" s="41">
        <v>98.640894757876794</v>
      </c>
      <c r="AG31" s="41">
        <v>98.606138839324089</v>
      </c>
      <c r="AH31" s="41">
        <v>98.547200717791839</v>
      </c>
      <c r="AI31" s="41">
        <v>98.507319640574622</v>
      </c>
      <c r="AJ31" s="41">
        <v>98.489050352174289</v>
      </c>
      <c r="AK31" s="41">
        <v>98.442652325349329</v>
      </c>
      <c r="AL31" s="41">
        <v>98.494927043126793</v>
      </c>
      <c r="AM31" s="41">
        <v>99.741861436779431</v>
      </c>
      <c r="AN31" s="41">
        <v>99.786686926399909</v>
      </c>
      <c r="AO31" s="41">
        <v>99.729308264129941</v>
      </c>
      <c r="AP31" s="41">
        <v>99.67796636473922</v>
      </c>
      <c r="AQ31" s="41">
        <v>99.673597846079261</v>
      </c>
      <c r="AR31" s="41">
        <v>99.644581648224673</v>
      </c>
      <c r="AS31" s="41">
        <v>99.333921683999606</v>
      </c>
      <c r="AT31" s="41">
        <v>99.335876095142268</v>
      </c>
      <c r="AU31" s="41">
        <v>99.302657615663591</v>
      </c>
      <c r="AV31" s="41">
        <v>99.309506989734118</v>
      </c>
      <c r="AW31" s="41">
        <v>99.303240824469611</v>
      </c>
      <c r="AX31" s="41">
        <v>99.454006754871145</v>
      </c>
      <c r="AY31" s="41">
        <v>99.473882851027867</v>
      </c>
      <c r="AZ31" s="41">
        <v>99.482707733663986</v>
      </c>
      <c r="BA31" s="41">
        <v>99.399555603659479</v>
      </c>
      <c r="BB31" s="41">
        <v>99.34549963789398</v>
      </c>
      <c r="BC31" s="41">
        <v>99.304322816770622</v>
      </c>
      <c r="BD31" s="41">
        <v>99.332152309747556</v>
      </c>
      <c r="BE31" s="41">
        <v>99.371292000506998</v>
      </c>
      <c r="BF31" s="41">
        <v>99.356756244434592</v>
      </c>
      <c r="BG31" s="41">
        <v>99.28685042740247</v>
      </c>
      <c r="BH31" s="41">
        <v>99.326577889651404</v>
      </c>
      <c r="BI31" s="41">
        <v>99.288080985023001</v>
      </c>
      <c r="BJ31" s="41">
        <v>99.280995964912677</v>
      </c>
      <c r="BK31" s="41">
        <v>99.21758673757904</v>
      </c>
      <c r="BL31" s="41">
        <v>99.102948630071623</v>
      </c>
      <c r="BM31" s="41">
        <v>99.08251185954947</v>
      </c>
      <c r="BN31" s="41">
        <v>99.102159553659973</v>
      </c>
      <c r="BO31" s="41">
        <v>99.07705158819023</v>
      </c>
      <c r="BP31" s="41">
        <v>99.066488159223141</v>
      </c>
      <c r="BQ31" s="41">
        <v>99.147347705565579</v>
      </c>
      <c r="BR31" s="41">
        <v>99.100874605374699</v>
      </c>
      <c r="BS31" s="41">
        <v>99.106563055846919</v>
      </c>
      <c r="BT31" s="41">
        <v>99.063520006024845</v>
      </c>
      <c r="BU31" s="41">
        <v>99.03981665860681</v>
      </c>
      <c r="BV31" s="41">
        <v>99.163454980113656</v>
      </c>
      <c r="BW31" s="41">
        <v>99.084329086967671</v>
      </c>
      <c r="BX31" s="41">
        <v>99.233297812848534</v>
      </c>
      <c r="BY31" s="41">
        <v>99.41429863249769</v>
      </c>
      <c r="BZ31" s="41">
        <v>99.482911318563453</v>
      </c>
      <c r="CA31" s="41">
        <v>99.545652729319372</v>
      </c>
      <c r="CB31" s="41">
        <v>99.534760272867686</v>
      </c>
      <c r="CC31" s="41">
        <v>99.530076842735212</v>
      </c>
      <c r="CD31" s="41">
        <v>99.434315160483536</v>
      </c>
      <c r="CE31" s="41">
        <v>99.325460699723664</v>
      </c>
      <c r="CF31" s="41">
        <v>99.329816601556018</v>
      </c>
      <c r="CG31" s="41">
        <v>99.317315400751795</v>
      </c>
      <c r="CH31" s="41">
        <v>99.409824933585014</v>
      </c>
      <c r="CI31" s="41">
        <v>102.10404447873198</v>
      </c>
      <c r="CJ31" s="41">
        <v>102.077911633499</v>
      </c>
      <c r="CK31" s="41">
        <v>102.04277088160342</v>
      </c>
      <c r="CL31" s="41">
        <v>101.9669485972078</v>
      </c>
      <c r="CM31" s="41">
        <v>102.01248177215793</v>
      </c>
      <c r="CN31" s="41">
        <v>102.09152647886437</v>
      </c>
      <c r="CO31" s="41">
        <v>103.43983741783488</v>
      </c>
      <c r="CP31" s="41">
        <v>103.48246861621402</v>
      </c>
      <c r="CQ31" s="41">
        <v>103.48025904133416</v>
      </c>
      <c r="CR31" s="41">
        <v>104.71464177619674</v>
      </c>
      <c r="CS31" s="41">
        <v>104.82468882129515</v>
      </c>
      <c r="CT31" s="41">
        <v>104.85992019724711</v>
      </c>
      <c r="CU31" s="41">
        <v>104.74315810711195</v>
      </c>
      <c r="CV31" s="41">
        <v>104.6925353085074</v>
      </c>
      <c r="CW31" s="41">
        <v>102.94496396839877</v>
      </c>
      <c r="CX31" s="41">
        <v>102.87781564163473</v>
      </c>
      <c r="CY31" s="41">
        <v>102.90680519948368</v>
      </c>
      <c r="CZ31" s="41">
        <v>101.3666674798222</v>
      </c>
      <c r="DA31" s="41">
        <v>99.74110679642682</v>
      </c>
      <c r="DB31" s="41">
        <v>99.392029197836095</v>
      </c>
      <c r="DC31" s="41">
        <v>98.578207465262025</v>
      </c>
      <c r="DD31" s="41">
        <v>98.066102729338297</v>
      </c>
      <c r="DE31" s="41">
        <v>98.409744212881861</v>
      </c>
      <c r="DF31" s="41">
        <v>101.08599155193669</v>
      </c>
      <c r="DG31" s="41">
        <v>96.963233337413612</v>
      </c>
      <c r="DH31" s="41">
        <v>96.510385200787354</v>
      </c>
      <c r="DI31" s="41">
        <v>96.436026252797944</v>
      </c>
      <c r="DJ31" s="41">
        <v>96.405630178565985</v>
      </c>
      <c r="DK31" s="41">
        <v>96.603484546723791</v>
      </c>
      <c r="DL31" s="41">
        <v>97.949295510296594</v>
      </c>
      <c r="DM31" s="41">
        <v>97.867008876615969</v>
      </c>
      <c r="DN31" s="41">
        <v>98.073543105469724</v>
      </c>
      <c r="DO31" s="41">
        <v>98.073705637696136</v>
      </c>
      <c r="DP31" s="41">
        <v>106.28877585293954</v>
      </c>
      <c r="DQ31" s="41">
        <v>106.30087111402987</v>
      </c>
      <c r="DR31" s="41">
        <v>106.61656312627349</v>
      </c>
    </row>
    <row r="32" spans="1:122" x14ac:dyDescent="0.35">
      <c r="A32" s="44">
        <v>17</v>
      </c>
      <c r="B32" s="44"/>
      <c r="C32" s="44"/>
      <c r="D32" s="45" t="s">
        <v>19</v>
      </c>
      <c r="E32" s="101">
        <v>13.192132101796759</v>
      </c>
      <c r="F32" s="24">
        <v>102.3371307934616</v>
      </c>
      <c r="G32" s="24">
        <v>102.33146214706868</v>
      </c>
      <c r="H32" s="24">
        <v>99.3993799107418</v>
      </c>
      <c r="I32" s="24">
        <v>99.509285555293047</v>
      </c>
      <c r="J32" s="24">
        <v>99.74537840830321</v>
      </c>
      <c r="K32" s="24">
        <v>99.815016167638106</v>
      </c>
      <c r="L32" s="24">
        <v>99.835861546904113</v>
      </c>
      <c r="M32" s="24">
        <v>99.791311889951601</v>
      </c>
      <c r="N32" s="24">
        <v>99.314375384062657</v>
      </c>
      <c r="O32" s="24">
        <v>99.371455808561336</v>
      </c>
      <c r="P32" s="24">
        <v>99.299840515026631</v>
      </c>
      <c r="Q32" s="24">
        <v>99.249501872987167</v>
      </c>
      <c r="R32" s="24">
        <v>96.074279369732267</v>
      </c>
      <c r="S32" s="24">
        <v>100.05213473577969</v>
      </c>
      <c r="T32" s="24">
        <v>100.03992070372944</v>
      </c>
      <c r="U32" s="24">
        <v>103.93920040063431</v>
      </c>
      <c r="V32" s="24">
        <v>103.94117186104336</v>
      </c>
      <c r="W32" s="24">
        <v>104.48967934773444</v>
      </c>
      <c r="X32" s="24">
        <v>104.5671298964004</v>
      </c>
      <c r="Y32" s="24">
        <v>104.69112070465162</v>
      </c>
      <c r="Z32" s="24">
        <v>104.73534567683508</v>
      </c>
      <c r="AA32" s="24">
        <v>104.82386231851558</v>
      </c>
      <c r="AB32" s="24">
        <v>104.88102735340281</v>
      </c>
      <c r="AC32" s="24">
        <v>107.25948678774401</v>
      </c>
      <c r="AD32" s="24">
        <v>107.40149916053832</v>
      </c>
      <c r="AE32" s="24">
        <v>107.24691089191312</v>
      </c>
      <c r="AF32" s="24">
        <v>107.43091619249645</v>
      </c>
      <c r="AG32" s="24">
        <v>110.19766439913408</v>
      </c>
      <c r="AH32" s="24">
        <v>110.1186892700409</v>
      </c>
      <c r="AI32" s="24">
        <v>110.06458936873167</v>
      </c>
      <c r="AJ32" s="24">
        <v>110.07155511789591</v>
      </c>
      <c r="AK32" s="24">
        <v>109.95513444429611</v>
      </c>
      <c r="AL32" s="24">
        <v>110.27699984182114</v>
      </c>
      <c r="AM32" s="24">
        <v>110.57551041258415</v>
      </c>
      <c r="AN32" s="24">
        <v>110.63478565740978</v>
      </c>
      <c r="AO32" s="24">
        <v>110.55891611418758</v>
      </c>
      <c r="AP32" s="24">
        <v>109.9211098294806</v>
      </c>
      <c r="AQ32" s="24">
        <v>109.63289059224276</v>
      </c>
      <c r="AR32" s="24">
        <v>109.75041627320192</v>
      </c>
      <c r="AS32" s="24">
        <v>109.79343008773522</v>
      </c>
      <c r="AT32" s="24">
        <v>109.78126084156813</v>
      </c>
      <c r="AU32" s="24">
        <v>107.22572020747899</v>
      </c>
      <c r="AV32" s="24">
        <v>107.33183560233293</v>
      </c>
      <c r="AW32" s="24">
        <v>107.15840825424858</v>
      </c>
      <c r="AX32" s="24">
        <v>106.75998333793255</v>
      </c>
      <c r="AY32" s="24">
        <v>106.61427336721873</v>
      </c>
      <c r="AZ32" s="24">
        <v>106.54812419034489</v>
      </c>
      <c r="BA32" s="24">
        <v>106.5034222906074</v>
      </c>
      <c r="BB32" s="24">
        <v>106.47459458371451</v>
      </c>
      <c r="BC32" s="24">
        <v>106.43306500604449</v>
      </c>
      <c r="BD32" s="24">
        <v>106.43600949372785</v>
      </c>
      <c r="BE32" s="24">
        <v>106.46538361745179</v>
      </c>
      <c r="BF32" s="24">
        <v>106.46926580885521</v>
      </c>
      <c r="BG32" s="24">
        <v>106.377893127623</v>
      </c>
      <c r="BH32" s="24">
        <v>106.41273983946598</v>
      </c>
      <c r="BI32" s="24">
        <v>106.4080151553015</v>
      </c>
      <c r="BJ32" s="24">
        <v>106.48583715608841</v>
      </c>
      <c r="BK32" s="24">
        <v>106.37588569930121</v>
      </c>
      <c r="BL32" s="24">
        <v>106.64203022054517</v>
      </c>
      <c r="BM32" s="24">
        <v>106.68160943791011</v>
      </c>
      <c r="BN32" s="24">
        <v>105.45364709801794</v>
      </c>
      <c r="BO32" s="24">
        <v>105.42301026729977</v>
      </c>
      <c r="BP32" s="24">
        <v>105.4126961494182</v>
      </c>
      <c r="BQ32" s="24">
        <v>108.78321408113617</v>
      </c>
      <c r="BR32" s="24">
        <v>109.09076796594498</v>
      </c>
      <c r="BS32" s="24">
        <v>108.72746610890006</v>
      </c>
      <c r="BT32" s="24">
        <v>109.10527953454067</v>
      </c>
      <c r="BU32" s="24">
        <v>109.05756503181522</v>
      </c>
      <c r="BV32" s="24">
        <v>109.50987132860462</v>
      </c>
      <c r="BW32" s="24">
        <v>115.52063294049108</v>
      </c>
      <c r="BX32" s="24">
        <v>115.74651889459871</v>
      </c>
      <c r="BY32" s="24">
        <v>116.10208610625817</v>
      </c>
      <c r="BZ32" s="24">
        <v>116.2126428298242</v>
      </c>
      <c r="CA32" s="24">
        <v>116.17491666056688</v>
      </c>
      <c r="CB32" s="24">
        <v>122.57506198797498</v>
      </c>
      <c r="CC32" s="24">
        <v>122.4670467214347</v>
      </c>
      <c r="CD32" s="24">
        <v>122.40960254817581</v>
      </c>
      <c r="CE32" s="24">
        <v>122.24732201018494</v>
      </c>
      <c r="CF32" s="24">
        <v>122.25381189646274</v>
      </c>
      <c r="CG32" s="24">
        <v>122.23518715002493</v>
      </c>
      <c r="CH32" s="24">
        <v>122.37307472534691</v>
      </c>
      <c r="CI32" s="24">
        <v>122.3587267960114</v>
      </c>
      <c r="CJ32" s="24">
        <v>122.0739213263065</v>
      </c>
      <c r="CK32" s="24">
        <v>122.02311503783082</v>
      </c>
      <c r="CL32" s="24">
        <v>121.96303707471196</v>
      </c>
      <c r="CM32" s="24">
        <v>122.02886352885108</v>
      </c>
      <c r="CN32" s="24">
        <v>122.1541296518414</v>
      </c>
      <c r="CO32" s="24">
        <v>121.99472113460313</v>
      </c>
      <c r="CP32" s="24">
        <v>122.04704927653479</v>
      </c>
      <c r="CQ32" s="24">
        <v>122.03543636465685</v>
      </c>
      <c r="CR32" s="24">
        <v>121.44619186925698</v>
      </c>
      <c r="CS32" s="24">
        <v>121.90656747954657</v>
      </c>
      <c r="CT32" s="24">
        <v>121.83994523953882</v>
      </c>
      <c r="CU32" s="24">
        <v>121.36330488445221</v>
      </c>
      <c r="CV32" s="24">
        <v>121.29306794306282</v>
      </c>
      <c r="CW32" s="24">
        <v>121.19294850417377</v>
      </c>
      <c r="CX32" s="24">
        <v>121.09840289362808</v>
      </c>
      <c r="CY32" s="24">
        <v>121.139211874987</v>
      </c>
      <c r="CZ32" s="24">
        <v>122.91914157872588</v>
      </c>
      <c r="DA32" s="24">
        <v>122.818864470631</v>
      </c>
      <c r="DB32" s="24">
        <v>122.84374025165681</v>
      </c>
      <c r="DC32" s="24">
        <v>122.34584182156843</v>
      </c>
      <c r="DD32" s="24">
        <v>122.29519204199102</v>
      </c>
      <c r="DE32" s="24">
        <v>122.30943274259079</v>
      </c>
      <c r="DF32" s="24">
        <v>122.29766384190349</v>
      </c>
      <c r="DG32" s="24">
        <v>122.30175236920786</v>
      </c>
      <c r="DH32" s="24">
        <v>121.381640468565</v>
      </c>
      <c r="DI32" s="24">
        <v>121.26955107532409</v>
      </c>
      <c r="DJ32" s="24">
        <v>121.72121746535186</v>
      </c>
      <c r="DK32" s="24">
        <v>121.66612468705252</v>
      </c>
      <c r="DL32" s="24">
        <v>121.52819520605995</v>
      </c>
      <c r="DM32" s="24">
        <v>121.41885978405277</v>
      </c>
      <c r="DN32" s="24">
        <v>121.78275702272764</v>
      </c>
      <c r="DO32" s="24">
        <v>121.78297366471213</v>
      </c>
      <c r="DP32" s="24">
        <v>122.04390449919271</v>
      </c>
      <c r="DQ32" s="24">
        <v>122.05875646477591</v>
      </c>
      <c r="DR32" s="24">
        <v>122.44673891390376</v>
      </c>
    </row>
    <row r="33" spans="1:122" s="42" customFormat="1" x14ac:dyDescent="0.35">
      <c r="B33" s="42">
        <v>170</v>
      </c>
      <c r="C33" s="31" t="s">
        <v>102</v>
      </c>
      <c r="D33" s="40" t="s">
        <v>91</v>
      </c>
      <c r="E33" s="102">
        <v>0.96095840983093905</v>
      </c>
      <c r="F33" s="41">
        <v>99.468871245142722</v>
      </c>
      <c r="G33" s="41">
        <v>99.458065064748865</v>
      </c>
      <c r="H33" s="41">
        <v>99.488970082301947</v>
      </c>
      <c r="I33" s="41">
        <v>99.763492455067819</v>
      </c>
      <c r="J33" s="41">
        <v>100.23910225212187</v>
      </c>
      <c r="K33" s="41">
        <v>100.37941074976402</v>
      </c>
      <c r="L33" s="41">
        <v>100.42141275503992</v>
      </c>
      <c r="M33" s="41">
        <v>100.33164939966454</v>
      </c>
      <c r="N33" s="41">
        <v>100.38255023518914</v>
      </c>
      <c r="O33" s="41">
        <v>100.74634652949914</v>
      </c>
      <c r="P33" s="41">
        <v>99.658807043628599</v>
      </c>
      <c r="Q33" s="41">
        <v>99.661322187831487</v>
      </c>
      <c r="R33" s="41">
        <v>100.8060761872743</v>
      </c>
      <c r="S33" s="41">
        <v>101.14533870254758</v>
      </c>
      <c r="T33" s="41">
        <v>101.12228409720917</v>
      </c>
      <c r="U33" s="41">
        <v>101.264111160281</v>
      </c>
      <c r="V33" s="41">
        <v>101.26759952248399</v>
      </c>
      <c r="W33" s="41">
        <v>101.20964345588605</v>
      </c>
      <c r="X33" s="41">
        <v>101.85110116425815</v>
      </c>
      <c r="Y33" s="41">
        <v>103.61570429213791</v>
      </c>
      <c r="Z33" s="41">
        <v>103.65842215244905</v>
      </c>
      <c r="AA33" s="41">
        <v>103.95150852178617</v>
      </c>
      <c r="AB33" s="41">
        <v>104.00678448815059</v>
      </c>
      <c r="AC33" s="41">
        <v>102.70954410538239</v>
      </c>
      <c r="AD33" s="41">
        <v>106.5915224780353</v>
      </c>
      <c r="AE33" s="41">
        <v>105.22516753902983</v>
      </c>
      <c r="AF33" s="41">
        <v>106.01940462882696</v>
      </c>
      <c r="AG33" s="41">
        <v>105.97706913904902</v>
      </c>
      <c r="AH33" s="41">
        <v>105.50249172508863</v>
      </c>
      <c r="AI33" s="41">
        <v>105.45410444076265</v>
      </c>
      <c r="AJ33" s="41">
        <v>104.87965624615823</v>
      </c>
      <c r="AK33" s="41">
        <v>104.65231122338</v>
      </c>
      <c r="AL33" s="41">
        <v>108.24526617341553</v>
      </c>
      <c r="AM33" s="41">
        <v>108.24336544177569</v>
      </c>
      <c r="AN33" s="41">
        <v>108.35366153203429</v>
      </c>
      <c r="AO33" s="41">
        <v>108.21248877866674</v>
      </c>
      <c r="AP33" s="41">
        <v>107.71087173865524</v>
      </c>
      <c r="AQ33" s="41">
        <v>104.6237401223264</v>
      </c>
      <c r="AR33" s="41">
        <v>107.08982081966613</v>
      </c>
      <c r="AS33" s="41">
        <v>107.17007943766265</v>
      </c>
      <c r="AT33" s="41">
        <v>107.17485896522743</v>
      </c>
      <c r="AU33" s="41">
        <v>107.79805792057223</v>
      </c>
      <c r="AV33" s="41">
        <v>107.81947209123913</v>
      </c>
      <c r="AW33" s="41">
        <v>107.80405229898516</v>
      </c>
      <c r="AX33" s="41">
        <v>108.17539935544342</v>
      </c>
      <c r="AY33" s="41">
        <v>108.22440881769113</v>
      </c>
      <c r="AZ33" s="41">
        <v>108.24617273910093</v>
      </c>
      <c r="BA33" s="41">
        <v>107.85081829591574</v>
      </c>
      <c r="BB33" s="41">
        <v>107.7179196085842</v>
      </c>
      <c r="BC33" s="41">
        <v>107.61674623828024</v>
      </c>
      <c r="BD33" s="41">
        <v>107.70944758554268</v>
      </c>
      <c r="BE33" s="41">
        <v>107.80567024804409</v>
      </c>
      <c r="BF33" s="41">
        <v>107.93912066898386</v>
      </c>
      <c r="BG33" s="41">
        <v>107.76705711412242</v>
      </c>
      <c r="BH33" s="41">
        <v>107.86482198189751</v>
      </c>
      <c r="BI33" s="41">
        <v>107.77008463614084</v>
      </c>
      <c r="BJ33" s="41">
        <v>107.75265412090675</v>
      </c>
      <c r="BK33" s="41">
        <v>107.59672534394245</v>
      </c>
      <c r="BL33" s="41">
        <v>107.31514056556976</v>
      </c>
      <c r="BM33" s="41">
        <v>107.26498517399902</v>
      </c>
      <c r="BN33" s="41">
        <v>104.94850218715126</v>
      </c>
      <c r="BO33" s="41">
        <v>104.88824309046046</v>
      </c>
      <c r="BP33" s="41">
        <v>104.86289664958409</v>
      </c>
      <c r="BQ33" s="41">
        <v>105.05700244464541</v>
      </c>
      <c r="BR33" s="41">
        <v>104.94541784274053</v>
      </c>
      <c r="BS33" s="41">
        <v>105.24640944982094</v>
      </c>
      <c r="BT33" s="41">
        <v>109.36653601736538</v>
      </c>
      <c r="BU33" s="41">
        <v>111.00374078751992</v>
      </c>
      <c r="BV33" s="41">
        <v>112.29228698658567</v>
      </c>
      <c r="BW33" s="41">
        <v>112.0892921243066</v>
      </c>
      <c r="BX33" s="41">
        <v>112.72025895491487</v>
      </c>
      <c r="BY33" s="41">
        <v>114.85336072357637</v>
      </c>
      <c r="BZ33" s="41">
        <v>116.11141045681927</v>
      </c>
      <c r="CA33" s="41">
        <v>116.27746157193643</v>
      </c>
      <c r="CB33" s="41">
        <v>117.6702215715175</v>
      </c>
      <c r="CC33" s="41">
        <v>118.07926905438855</v>
      </c>
      <c r="CD33" s="41">
        <v>118.31136264325829</v>
      </c>
      <c r="CE33" s="41">
        <v>118.01798779900774</v>
      </c>
      <c r="CF33" s="41">
        <v>118.02971961982982</v>
      </c>
      <c r="CG33" s="41">
        <v>117.99605168226657</v>
      </c>
      <c r="CH33" s="41">
        <v>118.24532327835222</v>
      </c>
      <c r="CI33" s="41">
        <v>118.01214695298297</v>
      </c>
      <c r="CJ33" s="41">
        <v>117.94369470448264</v>
      </c>
      <c r="CK33" s="41">
        <v>117.85168217624907</v>
      </c>
      <c r="CL33" s="41">
        <v>117.65328583697453</v>
      </c>
      <c r="CM33" s="41">
        <v>117.77240538630775</v>
      </c>
      <c r="CN33" s="41">
        <v>118.12916736080159</v>
      </c>
      <c r="CO33" s="41">
        <v>118.20321798287701</v>
      </c>
      <c r="CP33" s="41">
        <v>118.31366907594533</v>
      </c>
      <c r="CQ33" s="41">
        <v>118.30794297959957</v>
      </c>
      <c r="CR33" s="41">
        <v>109.70934727458427</v>
      </c>
      <c r="CS33" s="41">
        <v>109.97085905296744</v>
      </c>
      <c r="CT33" s="41">
        <v>110.05465513944715</v>
      </c>
      <c r="CU33" s="41">
        <v>109.7770790442183</v>
      </c>
      <c r="CV33" s="41">
        <v>109.65685623646336</v>
      </c>
      <c r="CW33" s="41">
        <v>109.48549677481304</v>
      </c>
      <c r="CX33" s="41">
        <v>109.32369066977226</v>
      </c>
      <c r="CY33" s="41">
        <v>109.39352987700312</v>
      </c>
      <c r="CZ33" s="41">
        <v>110.84658978577359</v>
      </c>
      <c r="DA33" s="41">
        <v>110.6729281484147</v>
      </c>
      <c r="DB33" s="41">
        <v>110.71600707089966</v>
      </c>
      <c r="DC33" s="41">
        <v>110.65745493835917</v>
      </c>
      <c r="DD33" s="41">
        <v>110.75733592848071</v>
      </c>
      <c r="DE33" s="41">
        <v>111.42188615745086</v>
      </c>
      <c r="DF33" s="41">
        <v>111.38205966215368</v>
      </c>
      <c r="DG33" s="41">
        <v>111.38913354076989</v>
      </c>
      <c r="DH33" s="41">
        <v>109.49459885509658</v>
      </c>
      <c r="DI33" s="41">
        <v>109.30346941675657</v>
      </c>
      <c r="DJ33" s="41">
        <v>109.22539421885905</v>
      </c>
      <c r="DK33" s="41">
        <v>109.11905000745759</v>
      </c>
      <c r="DL33" s="41">
        <v>108.85288143909312</v>
      </c>
      <c r="DM33" s="41">
        <v>108.64196656325485</v>
      </c>
      <c r="DN33" s="41">
        <v>110.39783608252534</v>
      </c>
      <c r="DO33" s="41">
        <v>110.39825829061762</v>
      </c>
      <c r="DP33" s="41">
        <v>108.96994434865118</v>
      </c>
      <c r="DQ33" s="41">
        <v>108.99867835917472</v>
      </c>
      <c r="DR33" s="41">
        <v>109.74713845637784</v>
      </c>
    </row>
    <row r="34" spans="1:122" s="42" customFormat="1" x14ac:dyDescent="0.35">
      <c r="C34" s="31" t="s">
        <v>103</v>
      </c>
      <c r="D34" s="40" t="s">
        <v>92</v>
      </c>
      <c r="E34" s="102">
        <v>6.0093794149194499</v>
      </c>
      <c r="F34" s="41">
        <v>105.21553535667803</v>
      </c>
      <c r="G34" s="41">
        <v>105.20481923481589</v>
      </c>
      <c r="H34" s="41">
        <v>98.763203227782938</v>
      </c>
      <c r="I34" s="41">
        <v>98.960575554767729</v>
      </c>
      <c r="J34" s="41">
        <v>99.402805390401909</v>
      </c>
      <c r="K34" s="41">
        <v>99.533241469657099</v>
      </c>
      <c r="L34" s="41">
        <v>99.57228590346449</v>
      </c>
      <c r="M34" s="41">
        <v>99.488841994577754</v>
      </c>
      <c r="N34" s="41">
        <v>98.433704261040873</v>
      </c>
      <c r="O34" s="41">
        <v>98.500835883805337</v>
      </c>
      <c r="P34" s="41">
        <v>98.517530087187225</v>
      </c>
      <c r="Q34" s="41">
        <v>98.406621635820571</v>
      </c>
      <c r="R34" s="41">
        <v>99.544854843329261</v>
      </c>
      <c r="S34" s="41">
        <v>108.22301821142563</v>
      </c>
      <c r="T34" s="41">
        <v>108.19989192868964</v>
      </c>
      <c r="U34" s="41">
        <v>116.73713336614186</v>
      </c>
      <c r="V34" s="41">
        <v>116.74090340520743</v>
      </c>
      <c r="W34" s="41">
        <v>116.67826647253102</v>
      </c>
      <c r="X34" s="41">
        <v>116.74571498292805</v>
      </c>
      <c r="Y34" s="41">
        <v>116.73572941041745</v>
      </c>
      <c r="Z34" s="41">
        <v>116.82598358654421</v>
      </c>
      <c r="AA34" s="41">
        <v>116.97343299149196</v>
      </c>
      <c r="AB34" s="41">
        <v>117.09008576687773</v>
      </c>
      <c r="AC34" s="41">
        <v>117.5305366256016</v>
      </c>
      <c r="AD34" s="41">
        <v>117.22152405478934</v>
      </c>
      <c r="AE34" s="41">
        <v>117.1006565672353</v>
      </c>
      <c r="AF34" s="41">
        <v>117.37758922649697</v>
      </c>
      <c r="AG34" s="41">
        <v>117.28972141593165</v>
      </c>
      <c r="AH34" s="41">
        <v>117.19224027216526</v>
      </c>
      <c r="AI34" s="41">
        <v>117.08121468517913</v>
      </c>
      <c r="AJ34" s="41">
        <v>117.18836616660853</v>
      </c>
      <c r="AK34" s="41">
        <v>116.96914755800044</v>
      </c>
      <c r="AL34" s="41">
        <v>117.10117626063111</v>
      </c>
      <c r="AM34" s="41">
        <v>117.75678762002724</v>
      </c>
      <c r="AN34" s="41">
        <v>117.86927459379399</v>
      </c>
      <c r="AO34" s="41">
        <v>117.72529635039095</v>
      </c>
      <c r="AP34" s="41">
        <v>116.40536111208588</v>
      </c>
      <c r="AQ34" s="41">
        <v>116.26630829061151</v>
      </c>
      <c r="AR34" s="41">
        <v>116.12995699369905</v>
      </c>
      <c r="AS34" s="41">
        <v>116.21154923405304</v>
      </c>
      <c r="AT34" s="41">
        <v>116.18407031837428</v>
      </c>
      <c r="AU34" s="41">
        <v>110.47434631120581</v>
      </c>
      <c r="AV34" s="41">
        <v>110.70387253751311</v>
      </c>
      <c r="AW34" s="41">
        <v>110.32562071648397</v>
      </c>
      <c r="AX34" s="41">
        <v>109.39159362017132</v>
      </c>
      <c r="AY34" s="41">
        <v>109.06388569874696</v>
      </c>
      <c r="AZ34" s="41">
        <v>108.91519099312792</v>
      </c>
      <c r="BA34" s="41">
        <v>108.88027986919813</v>
      </c>
      <c r="BB34" s="41">
        <v>108.83824744141545</v>
      </c>
      <c r="BC34" s="41">
        <v>108.76325795538111</v>
      </c>
      <c r="BD34" s="41">
        <v>108.7548980124827</v>
      </c>
      <c r="BE34" s="41">
        <v>108.80399481989367</v>
      </c>
      <c r="BF34" s="41">
        <v>108.79117720310816</v>
      </c>
      <c r="BG34" s="41">
        <v>108.61810532838862</v>
      </c>
      <c r="BH34" s="41">
        <v>108.67896925939009</v>
      </c>
      <c r="BI34" s="41">
        <v>108.68374678956594</v>
      </c>
      <c r="BJ34" s="41">
        <v>108.85737338941391</v>
      </c>
      <c r="BK34" s="41">
        <v>108.64093621955669</v>
      </c>
      <c r="BL34" s="41">
        <v>109.27021999117028</v>
      </c>
      <c r="BM34" s="41">
        <v>109.36512688086948</v>
      </c>
      <c r="BN34" s="41">
        <v>107.03986221847262</v>
      </c>
      <c r="BO34" s="41">
        <v>106.98224251960306</v>
      </c>
      <c r="BP34" s="41">
        <v>106.96365352357286</v>
      </c>
      <c r="BQ34" s="41">
        <v>114.33176712622021</v>
      </c>
      <c r="BR34" s="41">
        <v>115.02477040507588</v>
      </c>
      <c r="BS34" s="41">
        <v>114.17909797266796</v>
      </c>
      <c r="BT34" s="41">
        <v>114.34964708855318</v>
      </c>
      <c r="BU34" s="41">
        <v>113.98309647433298</v>
      </c>
      <c r="BV34" s="41">
        <v>114.76997391787279</v>
      </c>
      <c r="BW34" s="41">
        <v>123.52613517960688</v>
      </c>
      <c r="BX34" s="41">
        <v>123.92111514350094</v>
      </c>
      <c r="BY34" s="41">
        <v>124.36057275822604</v>
      </c>
      <c r="BZ34" s="41">
        <v>124.40209874845729</v>
      </c>
      <c r="CA34" s="41">
        <v>124.29272691840789</v>
      </c>
      <c r="CB34" s="41">
        <v>133.51923744017483</v>
      </c>
      <c r="CC34" s="41">
        <v>133.21670548830946</v>
      </c>
      <c r="CD34" s="41">
        <v>133.05348673634202</v>
      </c>
      <c r="CE34" s="41">
        <v>132.74415275315309</v>
      </c>
      <c r="CF34" s="41">
        <v>132.75652368866699</v>
      </c>
      <c r="CG34" s="41">
        <v>132.72102141582042</v>
      </c>
      <c r="CH34" s="41">
        <v>132.98385911721968</v>
      </c>
      <c r="CI34" s="41">
        <v>132.98964889504089</v>
      </c>
      <c r="CJ34" s="41">
        <v>132.37537388244505</v>
      </c>
      <c r="CK34" s="41">
        <v>132.27855472422831</v>
      </c>
      <c r="CL34" s="41">
        <v>132.17839366705311</v>
      </c>
      <c r="CM34" s="41">
        <v>132.30385127158002</v>
      </c>
      <c r="CN34" s="41">
        <v>132.52179288122755</v>
      </c>
      <c r="CO34" s="41">
        <v>132.16000880412341</v>
      </c>
      <c r="CP34" s="41">
        <v>132.2572203153145</v>
      </c>
      <c r="CQ34" s="41">
        <v>132.23264264814728</v>
      </c>
      <c r="CR34" s="41">
        <v>132.31409891810483</v>
      </c>
      <c r="CS34" s="41">
        <v>132.60975900371724</v>
      </c>
      <c r="CT34" s="41">
        <v>132.45010625442811</v>
      </c>
      <c r="CU34" s="41">
        <v>131.4481453146141</v>
      </c>
      <c r="CV34" s="41">
        <v>131.31318197895658</v>
      </c>
      <c r="CW34" s="41">
        <v>131.12079613206944</v>
      </c>
      <c r="CX34" s="41">
        <v>130.939118595808</v>
      </c>
      <c r="CY34" s="41">
        <v>131.01753682620503</v>
      </c>
      <c r="CZ34" s="41">
        <v>130.96321028497979</v>
      </c>
      <c r="DA34" s="41">
        <v>130.77084645402931</v>
      </c>
      <c r="DB34" s="41">
        <v>130.81856644585864</v>
      </c>
      <c r="DC34" s="41">
        <v>131.96692604435816</v>
      </c>
      <c r="DD34" s="41">
        <v>131.83976481725134</v>
      </c>
      <c r="DE34" s="41">
        <v>131.76475874813369</v>
      </c>
      <c r="DF34" s="41">
        <v>131.74529163199864</v>
      </c>
      <c r="DG34" s="41">
        <v>131.7531358178787</v>
      </c>
      <c r="DH34" s="41">
        <v>131.68022260113759</v>
      </c>
      <c r="DI34" s="41">
        <v>131.46472104061203</v>
      </c>
      <c r="DJ34" s="41">
        <v>131.37668320768861</v>
      </c>
      <c r="DK34" s="41">
        <v>131.27274587876141</v>
      </c>
      <c r="DL34" s="41">
        <v>131.01251817439956</v>
      </c>
      <c r="DM34" s="41">
        <v>130.80622617297405</v>
      </c>
      <c r="DN34" s="41">
        <v>131.3242934554691</v>
      </c>
      <c r="DO34" s="41">
        <v>131.32470152510356</v>
      </c>
      <c r="DP34" s="41">
        <v>131.26452485639416</v>
      </c>
      <c r="DQ34" s="41">
        <v>131.29253388881875</v>
      </c>
      <c r="DR34" s="41">
        <v>132.02456899486006</v>
      </c>
    </row>
    <row r="35" spans="1:122" s="43" customFormat="1" x14ac:dyDescent="0.35">
      <c r="C35" s="31" t="s">
        <v>104</v>
      </c>
      <c r="D35" s="40" t="s">
        <v>94</v>
      </c>
      <c r="E35" s="102">
        <v>6.2217942770463699</v>
      </c>
      <c r="F35" s="47">
        <v>100</v>
      </c>
      <c r="G35" s="47">
        <v>100</v>
      </c>
      <c r="H35" s="47">
        <v>100</v>
      </c>
      <c r="I35" s="47">
        <v>100</v>
      </c>
      <c r="J35" s="47">
        <v>100</v>
      </c>
      <c r="K35" s="47">
        <v>100</v>
      </c>
      <c r="L35" s="47">
        <v>100</v>
      </c>
      <c r="M35" s="47">
        <v>100</v>
      </c>
      <c r="N35" s="47">
        <v>100</v>
      </c>
      <c r="O35" s="47">
        <v>100</v>
      </c>
      <c r="P35" s="47">
        <v>100</v>
      </c>
      <c r="Q35" s="47">
        <v>100</v>
      </c>
      <c r="R35" s="47">
        <v>91.991363152443611</v>
      </c>
      <c r="S35" s="47">
        <v>91.991363152443611</v>
      </c>
      <c r="T35" s="47">
        <v>91.991363152443611</v>
      </c>
      <c r="U35" s="47">
        <v>91.991363152443611</v>
      </c>
      <c r="V35" s="47">
        <v>91.991363152443611</v>
      </c>
      <c r="W35" s="47">
        <v>93.223818830861021</v>
      </c>
      <c r="X35" s="47">
        <v>93.223818830861021</v>
      </c>
      <c r="Y35" s="47">
        <v>93.223818830861021</v>
      </c>
      <c r="Z35" s="47">
        <v>93.223818830861021</v>
      </c>
      <c r="AA35" s="47">
        <v>93.223818830861021</v>
      </c>
      <c r="AB35" s="47">
        <v>93.223818830861021</v>
      </c>
      <c r="AC35" s="47">
        <v>98.041835540105126</v>
      </c>
      <c r="AD35" s="47">
        <v>98.041835540105126</v>
      </c>
      <c r="AE35" s="47">
        <v>98.041835540105126</v>
      </c>
      <c r="AF35" s="47">
        <v>98.041835540105126</v>
      </c>
      <c r="AG35" s="47">
        <v>103.99960589392524</v>
      </c>
      <c r="AH35" s="47">
        <v>103.99960589392524</v>
      </c>
      <c r="AI35" s="47">
        <v>103.99960589392524</v>
      </c>
      <c r="AJ35" s="47">
        <v>103.99960589392524</v>
      </c>
      <c r="AK35" s="47">
        <v>103.99960589392524</v>
      </c>
      <c r="AL35" s="47">
        <v>103.99960589392524</v>
      </c>
      <c r="AM35" s="47">
        <v>103.99960589392524</v>
      </c>
      <c r="AN35" s="47">
        <v>103.99960589392524</v>
      </c>
      <c r="AO35" s="47">
        <v>103.99960589392524</v>
      </c>
      <c r="AP35" s="47">
        <v>103.99960589392524</v>
      </c>
      <c r="AQ35" s="47">
        <v>103.99960589392524</v>
      </c>
      <c r="AR35" s="47">
        <v>103.99960589392524</v>
      </c>
      <c r="AS35" s="47">
        <v>103.99960589392524</v>
      </c>
      <c r="AT35" s="47">
        <v>103.99960589392524</v>
      </c>
      <c r="AU35" s="47">
        <v>103.99960589392524</v>
      </c>
      <c r="AV35" s="47">
        <v>103.99960589392524</v>
      </c>
      <c r="AW35" s="47">
        <v>103.99960589392524</v>
      </c>
      <c r="AX35" s="47">
        <v>103.99960589392524</v>
      </c>
      <c r="AY35" s="47">
        <v>103.99960589392524</v>
      </c>
      <c r="AZ35" s="47">
        <v>103.99960589392524</v>
      </c>
      <c r="BA35" s="47">
        <v>103.99960589392524</v>
      </c>
      <c r="BB35" s="47">
        <v>103.99960589392524</v>
      </c>
      <c r="BC35" s="47">
        <v>103.99960589392524</v>
      </c>
      <c r="BD35" s="47">
        <v>103.99960589392524</v>
      </c>
      <c r="BE35" s="47">
        <v>103.99960589392524</v>
      </c>
      <c r="BF35" s="47">
        <v>103.99960589392524</v>
      </c>
      <c r="BG35" s="47">
        <v>103.99960589392524</v>
      </c>
      <c r="BH35" s="47">
        <v>103.99960589392524</v>
      </c>
      <c r="BI35" s="47">
        <v>103.99960589392524</v>
      </c>
      <c r="BJ35" s="47">
        <v>103.99960589392524</v>
      </c>
      <c r="BK35" s="47">
        <v>103.99960589392524</v>
      </c>
      <c r="BL35" s="47">
        <v>103.99960589392524</v>
      </c>
      <c r="BM35" s="47">
        <v>103.99960589392524</v>
      </c>
      <c r="BN35" s="47">
        <v>103.99960589392524</v>
      </c>
      <c r="BO35" s="47">
        <v>103.99960589392524</v>
      </c>
      <c r="BP35" s="47">
        <v>103.99960589392524</v>
      </c>
      <c r="BQ35" s="47">
        <v>103.99960589392524</v>
      </c>
      <c r="BR35" s="47">
        <v>103.99960589392524</v>
      </c>
      <c r="BS35" s="47">
        <v>103.99960589392524</v>
      </c>
      <c r="BT35" s="47">
        <v>103.99960589392524</v>
      </c>
      <c r="BU35" s="47">
        <v>103.99960589392524</v>
      </c>
      <c r="BV35" s="47">
        <v>103.99960589392524</v>
      </c>
      <c r="BW35" s="47">
        <v>108.31841400618103</v>
      </c>
      <c r="BX35" s="47">
        <v>108.31841400618103</v>
      </c>
      <c r="BY35" s="47">
        <v>108.31841400618103</v>
      </c>
      <c r="BZ35" s="47">
        <v>108.31841400618103</v>
      </c>
      <c r="CA35" s="47">
        <v>108.31841400618103</v>
      </c>
      <c r="CB35" s="47">
        <v>112.76208002328889</v>
      </c>
      <c r="CC35" s="47">
        <v>112.76208002328889</v>
      </c>
      <c r="CD35" s="47">
        <v>112.76208002328889</v>
      </c>
      <c r="CE35" s="47">
        <v>112.76208002328889</v>
      </c>
      <c r="CF35" s="47">
        <v>112.76208002328889</v>
      </c>
      <c r="CG35" s="47">
        <v>112.76208002328889</v>
      </c>
      <c r="CH35" s="47">
        <v>112.76208002328889</v>
      </c>
      <c r="CI35" s="47">
        <v>112.76208002328889</v>
      </c>
      <c r="CJ35" s="47">
        <v>112.76208002328889</v>
      </c>
      <c r="CK35" s="47">
        <v>112.76208002328889</v>
      </c>
      <c r="CL35" s="47">
        <v>112.76208002328889</v>
      </c>
      <c r="CM35" s="47">
        <v>112.76208002328889</v>
      </c>
      <c r="CN35" s="47">
        <v>112.76208002328889</v>
      </c>
      <c r="CO35" s="47">
        <v>112.76208002328889</v>
      </c>
      <c r="CP35" s="47">
        <v>112.76208002328889</v>
      </c>
      <c r="CQ35" s="47">
        <v>112.76208002328889</v>
      </c>
      <c r="CR35" s="47">
        <v>112.76208002328889</v>
      </c>
      <c r="CS35" s="47">
        <v>113.41226228780218</v>
      </c>
      <c r="CT35" s="47">
        <v>113.41226228780218</v>
      </c>
      <c r="CU35" s="47">
        <v>113.41226228780218</v>
      </c>
      <c r="CV35" s="47">
        <v>113.41226228780218</v>
      </c>
      <c r="CW35" s="47">
        <v>113.41226228780218</v>
      </c>
      <c r="CX35" s="47">
        <v>113.41226228780218</v>
      </c>
      <c r="CY35" s="47">
        <v>113.41226228780218</v>
      </c>
      <c r="CZ35" s="47">
        <v>117.01431106101812</v>
      </c>
      <c r="DA35" s="47">
        <v>117.01431106101812</v>
      </c>
      <c r="DB35" s="47">
        <v>117.01431106101812</v>
      </c>
      <c r="DC35" s="47">
        <v>114.85850139684192</v>
      </c>
      <c r="DD35" s="47">
        <v>114.85850139684192</v>
      </c>
      <c r="DE35" s="47">
        <v>114.85850139684192</v>
      </c>
      <c r="DF35" s="47">
        <v>114.85850139684192</v>
      </c>
      <c r="DG35" s="47">
        <v>114.85850139684192</v>
      </c>
      <c r="DH35" s="47">
        <v>113.27061451419623</v>
      </c>
      <c r="DI35" s="47">
        <v>113.27061451419623</v>
      </c>
      <c r="DJ35" s="47">
        <v>114.32537816434159</v>
      </c>
      <c r="DK35" s="47">
        <v>114.32537816434159</v>
      </c>
      <c r="DL35" s="47">
        <v>114.32537816434159</v>
      </c>
      <c r="DM35" s="47">
        <v>114.32537816434159</v>
      </c>
      <c r="DN35" s="47">
        <v>114.32537816434159</v>
      </c>
      <c r="DO35" s="47">
        <v>114.32537816434159</v>
      </c>
      <c r="DP35" s="47">
        <v>115.15735822282876</v>
      </c>
      <c r="DQ35" s="47">
        <v>115.15735822282876</v>
      </c>
      <c r="DR35" s="47">
        <v>115.15735822282876</v>
      </c>
    </row>
    <row r="36" spans="1:122" s="26" customFormat="1" x14ac:dyDescent="0.35">
      <c r="A36" s="27">
        <v>18</v>
      </c>
      <c r="B36" s="27"/>
      <c r="C36" s="27"/>
      <c r="D36" s="29" t="s">
        <v>20</v>
      </c>
      <c r="E36" s="104">
        <v>12.4497277597767</v>
      </c>
      <c r="F36" s="50">
        <v>98.728113205443734</v>
      </c>
      <c r="G36" s="50">
        <v>98.728113205443734</v>
      </c>
      <c r="H36" s="50">
        <v>98.728113205443734</v>
      </c>
      <c r="I36" s="50">
        <v>98.728113205443734</v>
      </c>
      <c r="J36" s="50">
        <v>100.63594339727815</v>
      </c>
      <c r="K36" s="50">
        <v>100.63594339727815</v>
      </c>
      <c r="L36" s="50">
        <v>100.63594339727815</v>
      </c>
      <c r="M36" s="50">
        <v>100.63594339727815</v>
      </c>
      <c r="N36" s="50">
        <v>100.63594339727815</v>
      </c>
      <c r="O36" s="50">
        <v>100.63594339727815</v>
      </c>
      <c r="P36" s="50">
        <v>100.63594339727815</v>
      </c>
      <c r="Q36" s="50">
        <v>100.63594339727815</v>
      </c>
      <c r="R36" s="50">
        <v>100.63594339727815</v>
      </c>
      <c r="S36" s="50">
        <v>100.63594339727815</v>
      </c>
      <c r="T36" s="50">
        <v>100.63594339727815</v>
      </c>
      <c r="U36" s="50">
        <v>100.63594339727815</v>
      </c>
      <c r="V36" s="50">
        <v>100.63594339727815</v>
      </c>
      <c r="W36" s="50">
        <v>100.63594339727815</v>
      </c>
      <c r="X36" s="50">
        <v>100.63594339727815</v>
      </c>
      <c r="Y36" s="50">
        <v>100.63594339727815</v>
      </c>
      <c r="Z36" s="50">
        <v>100.63594339727815</v>
      </c>
      <c r="AA36" s="50">
        <v>100.63594339727815</v>
      </c>
      <c r="AB36" s="50">
        <v>100.63594339727815</v>
      </c>
      <c r="AC36" s="50">
        <v>100.63594339727815</v>
      </c>
      <c r="AD36" s="50">
        <v>100.63594339727815</v>
      </c>
      <c r="AE36" s="50">
        <v>100.63594339727815</v>
      </c>
      <c r="AF36" s="50">
        <v>100.63594339727815</v>
      </c>
      <c r="AG36" s="50">
        <v>100.63594339727815</v>
      </c>
      <c r="AH36" s="50">
        <v>100.63594339727815</v>
      </c>
      <c r="AI36" s="50">
        <v>100.63594339727815</v>
      </c>
      <c r="AJ36" s="50">
        <v>100.63594339727815</v>
      </c>
      <c r="AK36" s="50">
        <v>100.63594339727815</v>
      </c>
      <c r="AL36" s="50">
        <v>100.63594339727815</v>
      </c>
      <c r="AM36" s="50">
        <v>100.63594339727815</v>
      </c>
      <c r="AN36" s="50">
        <v>100.63594339727815</v>
      </c>
      <c r="AO36" s="50">
        <v>100.63594339727815</v>
      </c>
      <c r="AP36" s="50">
        <v>100.63594339727815</v>
      </c>
      <c r="AQ36" s="50">
        <v>100.63594339727815</v>
      </c>
      <c r="AR36" s="50">
        <v>100.63594339727815</v>
      </c>
      <c r="AS36" s="50">
        <v>100.63594339727815</v>
      </c>
      <c r="AT36" s="50">
        <v>100.63594339727815</v>
      </c>
      <c r="AU36" s="50">
        <v>100.63594339727815</v>
      </c>
      <c r="AV36" s="50">
        <v>100.63594339727815</v>
      </c>
      <c r="AW36" s="50">
        <v>100.63594339727815</v>
      </c>
      <c r="AX36" s="50">
        <v>100.63594339727815</v>
      </c>
      <c r="AY36" s="50">
        <v>100.63594339727815</v>
      </c>
      <c r="AZ36" s="50">
        <v>100.63594339727815</v>
      </c>
      <c r="BA36" s="50">
        <v>100.63594339727815</v>
      </c>
      <c r="BB36" s="50">
        <v>100.63594339727815</v>
      </c>
      <c r="BC36" s="50">
        <v>100.63594339727815</v>
      </c>
      <c r="BD36" s="50">
        <v>100.63594339727815</v>
      </c>
      <c r="BE36" s="50">
        <v>100.63594339727815</v>
      </c>
      <c r="BF36" s="50">
        <v>100.63594339727815</v>
      </c>
      <c r="BG36" s="50">
        <v>100.63594339727815</v>
      </c>
      <c r="BH36" s="50">
        <v>100.63594339727815</v>
      </c>
      <c r="BI36" s="50">
        <v>100.63594339727815</v>
      </c>
      <c r="BJ36" s="50">
        <v>100.63594339727815</v>
      </c>
      <c r="BK36" s="50">
        <v>100.63594339727815</v>
      </c>
      <c r="BL36" s="50">
        <v>100.63594339727815</v>
      </c>
      <c r="BM36" s="50">
        <v>100.63594339727815</v>
      </c>
      <c r="BN36" s="50">
        <v>100.63594339727815</v>
      </c>
      <c r="BO36" s="50">
        <v>100.63594339727815</v>
      </c>
      <c r="BP36" s="50">
        <v>100.63594339727815</v>
      </c>
      <c r="BQ36" s="50">
        <v>100.63594339727815</v>
      </c>
      <c r="BR36" s="50">
        <v>100.63594339727815</v>
      </c>
      <c r="BS36" s="50">
        <v>100.63594339727815</v>
      </c>
      <c r="BT36" s="50">
        <v>101.05322366731394</v>
      </c>
      <c r="BU36" s="50">
        <v>101.05322366731394</v>
      </c>
      <c r="BV36" s="50">
        <v>101.05322366731394</v>
      </c>
      <c r="BW36" s="50">
        <v>101.05322366731394</v>
      </c>
      <c r="BX36" s="50">
        <v>101.05322366731394</v>
      </c>
      <c r="BY36" s="50">
        <v>101.05322366731394</v>
      </c>
      <c r="BZ36" s="50">
        <v>101.05322366731394</v>
      </c>
      <c r="CA36" s="50">
        <v>101.05322366731394</v>
      </c>
      <c r="CB36" s="50">
        <v>101.05322366731394</v>
      </c>
      <c r="CC36" s="50">
        <v>101.05322366731394</v>
      </c>
      <c r="CD36" s="50">
        <v>101.05322366731394</v>
      </c>
      <c r="CE36" s="50">
        <v>101.05322366731394</v>
      </c>
      <c r="CF36" s="50">
        <v>101.05322366731394</v>
      </c>
      <c r="CG36" s="50">
        <v>103.32200165748978</v>
      </c>
      <c r="CH36" s="50">
        <v>103.32200165748978</v>
      </c>
      <c r="CI36" s="50">
        <v>103.90913088163869</v>
      </c>
      <c r="CJ36" s="50">
        <v>103.90913088163869</v>
      </c>
      <c r="CK36" s="50">
        <v>103.90913088163869</v>
      </c>
      <c r="CL36" s="50">
        <v>104.1179802847473</v>
      </c>
      <c r="CM36" s="50">
        <v>104.1179802847473</v>
      </c>
      <c r="CN36" s="50">
        <v>104.1179802847473</v>
      </c>
      <c r="CO36" s="50">
        <v>104.1179802847473</v>
      </c>
      <c r="CP36" s="50">
        <v>104.1179802847473</v>
      </c>
      <c r="CQ36" s="50">
        <v>104.1179802847473</v>
      </c>
      <c r="CR36" s="50">
        <v>106.5512888809962</v>
      </c>
      <c r="CS36" s="50">
        <v>106.63328941540657</v>
      </c>
      <c r="CT36" s="50">
        <v>109.08180393276501</v>
      </c>
      <c r="CU36" s="50">
        <v>109.08180393276501</v>
      </c>
      <c r="CV36" s="50">
        <v>109.08180393276501</v>
      </c>
      <c r="CW36" s="50">
        <v>108.76107671726584</v>
      </c>
      <c r="CX36" s="50">
        <v>108.76107671726584</v>
      </c>
      <c r="CY36" s="50">
        <v>108.76107671726584</v>
      </c>
      <c r="CZ36" s="50">
        <v>108.76107671726584</v>
      </c>
      <c r="DA36" s="50">
        <v>108.76107671726584</v>
      </c>
      <c r="DB36" s="50">
        <v>108.76107671726584</v>
      </c>
      <c r="DC36" s="50">
        <v>108.76107671726584</v>
      </c>
      <c r="DD36" s="50">
        <v>108.76107671726584</v>
      </c>
      <c r="DE36" s="50">
        <v>108.87212947701079</v>
      </c>
      <c r="DF36" s="50">
        <v>108.87212947701079</v>
      </c>
      <c r="DG36" s="50">
        <v>108.87212947701079</v>
      </c>
      <c r="DH36" s="50">
        <v>108.87212947701079</v>
      </c>
      <c r="DI36" s="50">
        <v>108.87212947701079</v>
      </c>
      <c r="DJ36" s="50">
        <v>108.87212947701079</v>
      </c>
      <c r="DK36" s="50">
        <v>108.87212947701079</v>
      </c>
      <c r="DL36" s="50">
        <v>108.87210514964973</v>
      </c>
      <c r="DM36" s="50">
        <v>108.77338601144702</v>
      </c>
      <c r="DN36" s="50">
        <v>108.77338601144702</v>
      </c>
      <c r="DO36" s="50">
        <v>108.77338601144702</v>
      </c>
      <c r="DP36" s="50">
        <v>109.41331497228261</v>
      </c>
      <c r="DQ36" s="50">
        <v>109.64529839475726</v>
      </c>
      <c r="DR36" s="50">
        <v>111.05502277897804</v>
      </c>
    </row>
    <row r="37" spans="1:122" s="35" customFormat="1" x14ac:dyDescent="0.35">
      <c r="B37" s="35">
        <v>181</v>
      </c>
      <c r="C37" s="31" t="s">
        <v>106</v>
      </c>
      <c r="D37" s="56" t="s">
        <v>107</v>
      </c>
      <c r="E37" s="102">
        <v>12.4497277597767</v>
      </c>
      <c r="F37" s="36">
        <v>98.728113205443734</v>
      </c>
      <c r="G37" s="36">
        <v>98.728113205443734</v>
      </c>
      <c r="H37" s="36">
        <v>98.728113205443734</v>
      </c>
      <c r="I37" s="36">
        <v>98.728113205443734</v>
      </c>
      <c r="J37" s="36">
        <v>100.63594339727815</v>
      </c>
      <c r="K37" s="36">
        <v>100.63594339727815</v>
      </c>
      <c r="L37" s="36">
        <v>100.63594339727815</v>
      </c>
      <c r="M37" s="36">
        <v>100.63594339727815</v>
      </c>
      <c r="N37" s="36">
        <v>100.63594339727815</v>
      </c>
      <c r="O37" s="36">
        <v>100.63594339727815</v>
      </c>
      <c r="P37" s="36">
        <v>100.63594339727815</v>
      </c>
      <c r="Q37" s="36">
        <v>100.63594339727815</v>
      </c>
      <c r="R37" s="36">
        <v>100.63594339727815</v>
      </c>
      <c r="S37" s="36">
        <v>100.63594339727815</v>
      </c>
      <c r="T37" s="36">
        <v>100.63594339727815</v>
      </c>
      <c r="U37" s="36">
        <v>100.63594339727815</v>
      </c>
      <c r="V37" s="36">
        <v>100.63594339727815</v>
      </c>
      <c r="W37" s="36">
        <v>100.63594339727815</v>
      </c>
      <c r="X37" s="36">
        <v>100.63594339727815</v>
      </c>
      <c r="Y37" s="36">
        <v>100.63594339727815</v>
      </c>
      <c r="Z37" s="36">
        <v>100.63594339727815</v>
      </c>
      <c r="AA37" s="36">
        <v>100.63594339727815</v>
      </c>
      <c r="AB37" s="36">
        <v>100.63594339727815</v>
      </c>
      <c r="AC37" s="36">
        <v>100.63594339727815</v>
      </c>
      <c r="AD37" s="36">
        <v>100.63594339727815</v>
      </c>
      <c r="AE37" s="36">
        <v>100.63594339727815</v>
      </c>
      <c r="AF37" s="36">
        <v>100.63594339727815</v>
      </c>
      <c r="AG37" s="36">
        <v>100.63594339727815</v>
      </c>
      <c r="AH37" s="36">
        <v>100.63594339727815</v>
      </c>
      <c r="AI37" s="36">
        <v>100.63594339727815</v>
      </c>
      <c r="AJ37" s="36">
        <v>100.63594339727815</v>
      </c>
      <c r="AK37" s="36">
        <v>100.63594339727815</v>
      </c>
      <c r="AL37" s="36">
        <v>100.63594339727815</v>
      </c>
      <c r="AM37" s="36">
        <v>100.63594339727815</v>
      </c>
      <c r="AN37" s="36">
        <v>100.63594339727815</v>
      </c>
      <c r="AO37" s="36">
        <v>100.63594339727815</v>
      </c>
      <c r="AP37" s="36">
        <v>100.63594339727815</v>
      </c>
      <c r="AQ37" s="36">
        <v>100.63594339727815</v>
      </c>
      <c r="AR37" s="36">
        <v>100.63594339727815</v>
      </c>
      <c r="AS37" s="36">
        <v>100.63594339727815</v>
      </c>
      <c r="AT37" s="36">
        <v>100.63594339727815</v>
      </c>
      <c r="AU37" s="36">
        <v>100.63594339727815</v>
      </c>
      <c r="AV37" s="36">
        <v>100.63594339727815</v>
      </c>
      <c r="AW37" s="36">
        <v>100.63594339727815</v>
      </c>
      <c r="AX37" s="36">
        <v>100.63594339727815</v>
      </c>
      <c r="AY37" s="36">
        <v>100.63594339727815</v>
      </c>
      <c r="AZ37" s="36">
        <v>100.63594339727815</v>
      </c>
      <c r="BA37" s="36">
        <v>100.63594339727815</v>
      </c>
      <c r="BB37" s="36">
        <v>100.63594339727815</v>
      </c>
      <c r="BC37" s="36">
        <v>100.63594339727815</v>
      </c>
      <c r="BD37" s="36">
        <v>100.63594339727815</v>
      </c>
      <c r="BE37" s="36">
        <v>100.63594339727815</v>
      </c>
      <c r="BF37" s="36">
        <v>100.63594339727815</v>
      </c>
      <c r="BG37" s="36">
        <v>100.63594339727815</v>
      </c>
      <c r="BH37" s="36">
        <v>100.63594339727815</v>
      </c>
      <c r="BI37" s="36">
        <v>100.63594339727815</v>
      </c>
      <c r="BJ37" s="36">
        <v>100.63594339727815</v>
      </c>
      <c r="BK37" s="36">
        <v>100.63594339727815</v>
      </c>
      <c r="BL37" s="36">
        <v>100.63594339727815</v>
      </c>
      <c r="BM37" s="36">
        <v>100.63594339727815</v>
      </c>
      <c r="BN37" s="36">
        <v>100.63594339727815</v>
      </c>
      <c r="BO37" s="36">
        <v>100.63594339727815</v>
      </c>
      <c r="BP37" s="36">
        <v>100.63594339727815</v>
      </c>
      <c r="BQ37" s="36">
        <v>100.63594339727815</v>
      </c>
      <c r="BR37" s="36">
        <v>100.63594339727815</v>
      </c>
      <c r="BS37" s="36">
        <v>100.63594339727815</v>
      </c>
      <c r="BT37" s="36">
        <v>101.05322366731394</v>
      </c>
      <c r="BU37" s="36">
        <v>101.05322366731394</v>
      </c>
      <c r="BV37" s="36">
        <v>101.05322366731394</v>
      </c>
      <c r="BW37" s="36">
        <v>101.05322366731394</v>
      </c>
      <c r="BX37" s="36">
        <v>101.05322366731394</v>
      </c>
      <c r="BY37" s="36">
        <v>101.05322366731394</v>
      </c>
      <c r="BZ37" s="36">
        <v>101.05322366731394</v>
      </c>
      <c r="CA37" s="36">
        <v>101.05322366731394</v>
      </c>
      <c r="CB37" s="36">
        <v>101.05322366731394</v>
      </c>
      <c r="CC37" s="36">
        <v>101.05322366731394</v>
      </c>
      <c r="CD37" s="36">
        <v>101.05322366731394</v>
      </c>
      <c r="CE37" s="36">
        <v>101.05322366731394</v>
      </c>
      <c r="CF37" s="36">
        <v>101.05322366731394</v>
      </c>
      <c r="CG37" s="36">
        <v>103.32200165748978</v>
      </c>
      <c r="CH37" s="36">
        <v>103.32200165748978</v>
      </c>
      <c r="CI37" s="36">
        <v>103.90913088163869</v>
      </c>
      <c r="CJ37" s="36">
        <v>103.90913088163869</v>
      </c>
      <c r="CK37" s="36">
        <v>103.90913088163869</v>
      </c>
      <c r="CL37" s="36">
        <v>104.1179802847473</v>
      </c>
      <c r="CM37" s="36">
        <v>104.1179802847473</v>
      </c>
      <c r="CN37" s="36">
        <v>104.1179802847473</v>
      </c>
      <c r="CO37" s="36">
        <v>104.1179802847473</v>
      </c>
      <c r="CP37" s="36">
        <v>104.1179802847473</v>
      </c>
      <c r="CQ37" s="36">
        <v>104.1179802847473</v>
      </c>
      <c r="CR37" s="36">
        <v>106.5512888809962</v>
      </c>
      <c r="CS37" s="36">
        <v>106.63328941540657</v>
      </c>
      <c r="CT37" s="36">
        <v>109.08180393276501</v>
      </c>
      <c r="CU37" s="36">
        <v>109.08180393276501</v>
      </c>
      <c r="CV37" s="36">
        <v>109.08180393276501</v>
      </c>
      <c r="CW37" s="36">
        <v>108.76107671726584</v>
      </c>
      <c r="CX37" s="36">
        <v>108.76107671726584</v>
      </c>
      <c r="CY37" s="36">
        <v>108.76107671726584</v>
      </c>
      <c r="CZ37" s="36">
        <v>108.76107671726584</v>
      </c>
      <c r="DA37" s="36">
        <v>108.76107671726584</v>
      </c>
      <c r="DB37" s="36">
        <v>108.76107671726584</v>
      </c>
      <c r="DC37" s="36">
        <v>108.76107671726584</v>
      </c>
      <c r="DD37" s="36">
        <v>108.76107671726584</v>
      </c>
      <c r="DE37" s="36">
        <v>108.87212947701079</v>
      </c>
      <c r="DF37" s="36">
        <v>108.87212947701079</v>
      </c>
      <c r="DG37" s="36">
        <v>108.87212947701079</v>
      </c>
      <c r="DH37" s="36">
        <v>108.87212947701079</v>
      </c>
      <c r="DI37" s="36">
        <v>108.87212947701079</v>
      </c>
      <c r="DJ37" s="36">
        <v>108.87212947701079</v>
      </c>
      <c r="DK37" s="36">
        <v>108.87212947701079</v>
      </c>
      <c r="DL37" s="36">
        <v>108.87210514964973</v>
      </c>
      <c r="DM37" s="36">
        <v>108.77338601144702</v>
      </c>
      <c r="DN37" s="36">
        <v>108.77338601144702</v>
      </c>
      <c r="DO37" s="36">
        <v>108.77338601144702</v>
      </c>
      <c r="DP37" s="36">
        <v>109.41331497228261</v>
      </c>
      <c r="DQ37" s="36">
        <v>109.64529839475726</v>
      </c>
      <c r="DR37" s="36">
        <v>111.05502277897804</v>
      </c>
    </row>
    <row r="38" spans="1:122" x14ac:dyDescent="0.35">
      <c r="A38" s="44">
        <v>20</v>
      </c>
      <c r="B38" s="44"/>
      <c r="C38" s="44"/>
      <c r="D38" s="45" t="s">
        <v>21</v>
      </c>
      <c r="E38" s="101">
        <v>36.487690063799683</v>
      </c>
      <c r="F38" s="24">
        <v>99.787701954919214</v>
      </c>
      <c r="G38" s="24">
        <v>99.859904400573825</v>
      </c>
      <c r="H38" s="24">
        <v>99.896743780302373</v>
      </c>
      <c r="I38" s="24">
        <v>99.933759137785287</v>
      </c>
      <c r="J38" s="24">
        <v>99.860498540632662</v>
      </c>
      <c r="K38" s="24">
        <v>99.874233738439059</v>
      </c>
      <c r="L38" s="24">
        <v>100.02970672705753</v>
      </c>
      <c r="M38" s="24">
        <v>100.01402191536526</v>
      </c>
      <c r="N38" s="24">
        <v>100.18181428784069</v>
      </c>
      <c r="O38" s="24">
        <v>100.02443274364434</v>
      </c>
      <c r="P38" s="24">
        <v>100.23294857732459</v>
      </c>
      <c r="Q38" s="24">
        <v>100.30423419611499</v>
      </c>
      <c r="R38" s="24">
        <v>100.78315972239214</v>
      </c>
      <c r="S38" s="24">
        <v>100.76612687531089</v>
      </c>
      <c r="T38" s="24">
        <v>100.89036989349349</v>
      </c>
      <c r="U38" s="24">
        <v>100.83332477330445</v>
      </c>
      <c r="V38" s="24">
        <v>100.96585574805543</v>
      </c>
      <c r="W38" s="24">
        <v>100.98171716045312</v>
      </c>
      <c r="X38" s="24">
        <v>99.658577533800383</v>
      </c>
      <c r="Y38" s="24">
        <v>100.06756533703772</v>
      </c>
      <c r="Z38" s="24">
        <v>100.02675520337148</v>
      </c>
      <c r="AA38" s="24">
        <v>103.72358372794146</v>
      </c>
      <c r="AB38" s="24">
        <v>103.681497526633</v>
      </c>
      <c r="AC38" s="24">
        <v>103.89155856696291</v>
      </c>
      <c r="AD38" s="24">
        <v>104.00930572008335</v>
      </c>
      <c r="AE38" s="24">
        <v>105.44183868645128</v>
      </c>
      <c r="AF38" s="24">
        <v>106.11687217518559</v>
      </c>
      <c r="AG38" s="24">
        <v>106.24022256529564</v>
      </c>
      <c r="AH38" s="24">
        <v>104.40611696009552</v>
      </c>
      <c r="AI38" s="24">
        <v>104.59164173093338</v>
      </c>
      <c r="AJ38" s="24">
        <v>104.79041475203336</v>
      </c>
      <c r="AK38" s="24">
        <v>105.25812678225904</v>
      </c>
      <c r="AL38" s="24">
        <v>105.48547106690545</v>
      </c>
      <c r="AM38" s="24">
        <v>107.65187204299698</v>
      </c>
      <c r="AN38" s="24">
        <v>107.68902236156367</v>
      </c>
      <c r="AO38" s="24">
        <v>107.59408113538129</v>
      </c>
      <c r="AP38" s="24">
        <v>107.5859158501223</v>
      </c>
      <c r="AQ38" s="24">
        <v>104.44113926189962</v>
      </c>
      <c r="AR38" s="24">
        <v>104.78947354214192</v>
      </c>
      <c r="AS38" s="24">
        <v>101.35100442560592</v>
      </c>
      <c r="AT38" s="24">
        <v>101.34123556914429</v>
      </c>
      <c r="AU38" s="24">
        <v>101.43020038214165</v>
      </c>
      <c r="AV38" s="24">
        <v>102.44376584789705</v>
      </c>
      <c r="AW38" s="24">
        <v>101.9586328388506</v>
      </c>
      <c r="AX38" s="24">
        <v>101.99961833201694</v>
      </c>
      <c r="AY38" s="24">
        <v>101.9198432039307</v>
      </c>
      <c r="AZ38" s="24">
        <v>102.37142480657469</v>
      </c>
      <c r="BA38" s="24">
        <v>102.56020781183292</v>
      </c>
      <c r="BB38" s="24">
        <v>103.04681495984164</v>
      </c>
      <c r="BC38" s="24">
        <v>102.91839161932498</v>
      </c>
      <c r="BD38" s="24">
        <v>102.98918796405219</v>
      </c>
      <c r="BE38" s="24">
        <v>102.85585728369463</v>
      </c>
      <c r="BF38" s="24">
        <v>103.43902375434064</v>
      </c>
      <c r="BG38" s="24">
        <v>104.53824528160555</v>
      </c>
      <c r="BH38" s="24">
        <v>104.44690707549991</v>
      </c>
      <c r="BI38" s="24">
        <v>106.40311656874867</v>
      </c>
      <c r="BJ38" s="24">
        <v>108.91676860190037</v>
      </c>
      <c r="BK38" s="24">
        <v>109.20018916197701</v>
      </c>
      <c r="BL38" s="24">
        <v>110.44021729571969</v>
      </c>
      <c r="BM38" s="24">
        <v>110.87559224318764</v>
      </c>
      <c r="BN38" s="24">
        <v>114.66138365450927</v>
      </c>
      <c r="BO38" s="24">
        <v>114.69106439739826</v>
      </c>
      <c r="BP38" s="24">
        <v>116.45116704581906</v>
      </c>
      <c r="BQ38" s="24">
        <v>117.29996860122951</v>
      </c>
      <c r="BR38" s="24">
        <v>123.51587692951628</v>
      </c>
      <c r="BS38" s="24">
        <v>124.02999545516712</v>
      </c>
      <c r="BT38" s="24">
        <v>132.18052145372914</v>
      </c>
      <c r="BU38" s="24">
        <v>136.01401175985654</v>
      </c>
      <c r="BV38" s="24">
        <v>140.59881833385276</v>
      </c>
      <c r="BW38" s="24">
        <v>144.91588576121359</v>
      </c>
      <c r="BX38" s="24">
        <v>144.69297129156567</v>
      </c>
      <c r="BY38" s="24">
        <v>145.16921160155223</v>
      </c>
      <c r="BZ38" s="24">
        <v>144.68337332929809</v>
      </c>
      <c r="CA38" s="24">
        <v>144.8205053692073</v>
      </c>
      <c r="CB38" s="24">
        <v>141.82610152016318</v>
      </c>
      <c r="CC38" s="24">
        <v>140.09911874968017</v>
      </c>
      <c r="CD38" s="24">
        <v>140.14031584287736</v>
      </c>
      <c r="CE38" s="24">
        <v>141.30330817193595</v>
      </c>
      <c r="CF38" s="24">
        <v>140.79348029900166</v>
      </c>
      <c r="CG38" s="24">
        <v>141.53821346583288</v>
      </c>
      <c r="CH38" s="24">
        <v>141.53821346583288</v>
      </c>
      <c r="CI38" s="24">
        <v>141.29145310491583</v>
      </c>
      <c r="CJ38" s="24">
        <v>141.68284585594225</v>
      </c>
      <c r="CK38" s="24">
        <v>140.34421804496932</v>
      </c>
      <c r="CL38" s="24">
        <v>140.30873226423481</v>
      </c>
      <c r="CM38" s="24">
        <v>140.30873226423481</v>
      </c>
      <c r="CN38" s="24">
        <v>140.30873226423481</v>
      </c>
      <c r="CO38" s="24">
        <v>140.30873226423481</v>
      </c>
      <c r="CP38" s="24">
        <v>140.30873226423481</v>
      </c>
      <c r="CQ38" s="24">
        <v>140.30873226423481</v>
      </c>
      <c r="CR38" s="24">
        <v>138.62097278802264</v>
      </c>
      <c r="CS38" s="24">
        <v>137.8574813903447</v>
      </c>
      <c r="CT38" s="24">
        <v>137.94401867301229</v>
      </c>
      <c r="CU38" s="24">
        <v>138.06908423514943</v>
      </c>
      <c r="CV38" s="24">
        <v>138.30642097369059</v>
      </c>
      <c r="CW38" s="24">
        <v>138.30642097369059</v>
      </c>
      <c r="CX38" s="24">
        <v>138.30642097369059</v>
      </c>
      <c r="CY38" s="24">
        <v>138.30642097369059</v>
      </c>
      <c r="CZ38" s="24">
        <v>136.75108501492304</v>
      </c>
      <c r="DA38" s="24">
        <v>136.9324457105497</v>
      </c>
      <c r="DB38" s="24">
        <v>136.9324457105497</v>
      </c>
      <c r="DC38" s="24">
        <v>136.92879765136351</v>
      </c>
      <c r="DD38" s="24">
        <v>137.65205489780433</v>
      </c>
      <c r="DE38" s="24">
        <v>137.78231046129025</v>
      </c>
      <c r="DF38" s="24">
        <v>137.8330214363167</v>
      </c>
      <c r="DG38" s="24">
        <v>138.21249220632018</v>
      </c>
      <c r="DH38" s="24">
        <v>138.21249220632018</v>
      </c>
      <c r="DI38" s="24">
        <v>137.44404695596273</v>
      </c>
      <c r="DJ38" s="24">
        <v>136.67846906394507</v>
      </c>
      <c r="DK38" s="24">
        <v>136.67846906394507</v>
      </c>
      <c r="DL38" s="24">
        <v>137.3524407589577</v>
      </c>
      <c r="DM38" s="24">
        <v>137.3524407589577</v>
      </c>
      <c r="DN38" s="24">
        <v>137.3524407589577</v>
      </c>
      <c r="DO38" s="24">
        <v>136.9009000517774</v>
      </c>
      <c r="DP38" s="24">
        <v>136.83778628061407</v>
      </c>
      <c r="DQ38" s="24">
        <v>136.90284352032035</v>
      </c>
      <c r="DR38" s="24">
        <v>137.31251234471571</v>
      </c>
    </row>
    <row r="39" spans="1:122" s="43" customFormat="1" x14ac:dyDescent="0.35">
      <c r="B39" s="43">
        <v>202</v>
      </c>
      <c r="C39" s="31" t="s">
        <v>110</v>
      </c>
      <c r="D39" s="40" t="s">
        <v>98</v>
      </c>
      <c r="E39" s="102">
        <v>7.9440368859783304</v>
      </c>
      <c r="F39" s="47">
        <v>99.906582096591762</v>
      </c>
      <c r="G39" s="47">
        <v>99.906582096591762</v>
      </c>
      <c r="H39" s="47">
        <v>99.906582096591762</v>
      </c>
      <c r="I39" s="47">
        <v>99.906582096591762</v>
      </c>
      <c r="J39" s="47">
        <v>99.906582096591762</v>
      </c>
      <c r="K39" s="47">
        <v>99.906582096591762</v>
      </c>
      <c r="L39" s="47">
        <v>99.906582096591762</v>
      </c>
      <c r="M39" s="47">
        <v>99.906582096591762</v>
      </c>
      <c r="N39" s="47">
        <v>99.906582096591762</v>
      </c>
      <c r="O39" s="47">
        <v>100.2802537102248</v>
      </c>
      <c r="P39" s="47">
        <v>100.2802537102248</v>
      </c>
      <c r="Q39" s="47">
        <v>100.2802537102248</v>
      </c>
      <c r="R39" s="47">
        <v>100.2802537102248</v>
      </c>
      <c r="S39" s="47">
        <v>100.2802537102248</v>
      </c>
      <c r="T39" s="47">
        <v>100.2802537102248</v>
      </c>
      <c r="U39" s="47">
        <v>100.2802537102248</v>
      </c>
      <c r="V39" s="47">
        <v>100.2802537102248</v>
      </c>
      <c r="W39" s="47">
        <v>100.2802537102248</v>
      </c>
      <c r="X39" s="47">
        <v>100.2802537102248</v>
      </c>
      <c r="Y39" s="47">
        <v>100.2802537102248</v>
      </c>
      <c r="Z39" s="47">
        <v>100.2802537102248</v>
      </c>
      <c r="AA39" s="47">
        <v>100.2802537102248</v>
      </c>
      <c r="AB39" s="47">
        <v>100.2802537102248</v>
      </c>
      <c r="AC39" s="47">
        <v>100.2802537102248</v>
      </c>
      <c r="AD39" s="47">
        <v>100.2802537102248</v>
      </c>
      <c r="AE39" s="47">
        <v>100.2802537102248</v>
      </c>
      <c r="AF39" s="47">
        <v>100.2802537102248</v>
      </c>
      <c r="AG39" s="47">
        <v>101.58529419175002</v>
      </c>
      <c r="AH39" s="47">
        <v>96.712639774274635</v>
      </c>
      <c r="AI39" s="47">
        <v>96.712639774274635</v>
      </c>
      <c r="AJ39" s="47">
        <v>96.712639774274635</v>
      </c>
      <c r="AK39" s="47">
        <v>96.712639774274635</v>
      </c>
      <c r="AL39" s="47">
        <v>96.712639774274635</v>
      </c>
      <c r="AM39" s="47">
        <v>96.712639774274635</v>
      </c>
      <c r="AN39" s="47">
        <v>96.712639774274635</v>
      </c>
      <c r="AO39" s="47">
        <v>96.712639774274635</v>
      </c>
      <c r="AP39" s="47">
        <v>96.712639774274635</v>
      </c>
      <c r="AQ39" s="47">
        <v>96.712639774274635</v>
      </c>
      <c r="AR39" s="47">
        <v>96.712639774274635</v>
      </c>
      <c r="AS39" s="47">
        <v>96.712639774274635</v>
      </c>
      <c r="AT39" s="47">
        <v>96.712639774274635</v>
      </c>
      <c r="AU39" s="47">
        <v>96.712639774274635</v>
      </c>
      <c r="AV39" s="47">
        <v>102.42614739489247</v>
      </c>
      <c r="AW39" s="47">
        <v>102.42614739489247</v>
      </c>
      <c r="AX39" s="47">
        <v>102.42614739489247</v>
      </c>
      <c r="AY39" s="47">
        <v>102.42614739489247</v>
      </c>
      <c r="AZ39" s="47">
        <v>102.42614739489247</v>
      </c>
      <c r="BA39" s="47">
        <v>102.42614739489247</v>
      </c>
      <c r="BB39" s="47">
        <v>102.42614739489247</v>
      </c>
      <c r="BC39" s="47">
        <v>102.42614739489247</v>
      </c>
      <c r="BD39" s="47">
        <v>102.42614739489247</v>
      </c>
      <c r="BE39" s="47">
        <v>102.42614739489247</v>
      </c>
      <c r="BF39" s="47">
        <v>102.42614739489247</v>
      </c>
      <c r="BG39" s="47">
        <v>102.42614739489247</v>
      </c>
      <c r="BH39" s="47">
        <v>101.07851963991966</v>
      </c>
      <c r="BI39" s="47">
        <v>101.07851963991966</v>
      </c>
      <c r="BJ39" s="47">
        <v>101.07851963991966</v>
      </c>
      <c r="BK39" s="47">
        <v>101.07851963991966</v>
      </c>
      <c r="BL39" s="47">
        <v>101.07851963991966</v>
      </c>
      <c r="BM39" s="47">
        <v>101.07851963991966</v>
      </c>
      <c r="BN39" s="47">
        <v>103.5539959183119</v>
      </c>
      <c r="BO39" s="47">
        <v>103.5539959183119</v>
      </c>
      <c r="BP39" s="47">
        <v>105.35641673103432</v>
      </c>
      <c r="BQ39" s="47">
        <v>106.06147641685872</v>
      </c>
      <c r="BR39" s="47">
        <v>108.03584177226821</v>
      </c>
      <c r="BS39" s="47">
        <v>108.03584177226821</v>
      </c>
      <c r="BT39" s="47">
        <v>108.03584177226821</v>
      </c>
      <c r="BU39" s="47">
        <v>108.03584177226821</v>
      </c>
      <c r="BV39" s="47">
        <v>108.84770444036525</v>
      </c>
      <c r="BW39" s="47">
        <v>111.37915678282128</v>
      </c>
      <c r="BX39" s="47">
        <v>112.8013176606964</v>
      </c>
      <c r="BY39" s="47">
        <v>114.98873308639131</v>
      </c>
      <c r="BZ39" s="47">
        <v>114.86045860216157</v>
      </c>
      <c r="CA39" s="47">
        <v>115.15412134975547</v>
      </c>
      <c r="CB39" s="47">
        <v>115.15412134975547</v>
      </c>
      <c r="CC39" s="47">
        <v>114.95363933939922</v>
      </c>
      <c r="CD39" s="47">
        <v>115.14286136715214</v>
      </c>
      <c r="CE39" s="47">
        <v>115.14286136715214</v>
      </c>
      <c r="CF39" s="47">
        <v>115.14286136715214</v>
      </c>
      <c r="CG39" s="47">
        <v>115.14286136715214</v>
      </c>
      <c r="CH39" s="47">
        <v>115.14286136715214</v>
      </c>
      <c r="CI39" s="47">
        <v>115.91946285900175</v>
      </c>
      <c r="CJ39" s="47">
        <v>117.71716566396682</v>
      </c>
      <c r="CK39" s="47">
        <v>116.94820533802591</v>
      </c>
      <c r="CL39" s="47">
        <v>116.78521589226973</v>
      </c>
      <c r="CM39" s="47">
        <v>116.78521589226973</v>
      </c>
      <c r="CN39" s="47">
        <v>116.78521589226973</v>
      </c>
      <c r="CO39" s="47">
        <v>116.78521589226973</v>
      </c>
      <c r="CP39" s="47">
        <v>116.78521589226973</v>
      </c>
      <c r="CQ39" s="47">
        <v>116.78521589226973</v>
      </c>
      <c r="CR39" s="47">
        <v>116.78521589226973</v>
      </c>
      <c r="CS39" s="47">
        <v>116.78521589226973</v>
      </c>
      <c r="CT39" s="47">
        <v>116.78521589226973</v>
      </c>
      <c r="CU39" s="47">
        <v>116.78521589226973</v>
      </c>
      <c r="CV39" s="47">
        <v>116.78521589226973</v>
      </c>
      <c r="CW39" s="47">
        <v>116.78521589226973</v>
      </c>
      <c r="CX39" s="47">
        <v>116.78521589226973</v>
      </c>
      <c r="CY39" s="47">
        <v>116.78521589226973</v>
      </c>
      <c r="CZ39" s="47">
        <v>116.77360643939437</v>
      </c>
      <c r="DA39" s="47">
        <v>116.77360643939437</v>
      </c>
      <c r="DB39" s="47">
        <v>116.77360643939437</v>
      </c>
      <c r="DC39" s="47">
        <v>115.35050744425422</v>
      </c>
      <c r="DD39" s="47">
        <v>114.51407241484728</v>
      </c>
      <c r="DE39" s="47">
        <v>114.51407241484728</v>
      </c>
      <c r="DF39" s="47">
        <v>115.34526832492831</v>
      </c>
      <c r="DG39" s="47">
        <v>115.1030865954264</v>
      </c>
      <c r="DH39" s="47">
        <v>115.1030865954264</v>
      </c>
      <c r="DI39" s="47">
        <v>115.1030865954264</v>
      </c>
      <c r="DJ39" s="47">
        <v>115.1030865954264</v>
      </c>
      <c r="DK39" s="47">
        <v>115.1030865954264</v>
      </c>
      <c r="DL39" s="47">
        <v>115.1030865954264</v>
      </c>
      <c r="DM39" s="47">
        <v>115.1030865954264</v>
      </c>
      <c r="DN39" s="47">
        <v>115.1030865954264</v>
      </c>
      <c r="DO39" s="47">
        <v>115.09416006614894</v>
      </c>
      <c r="DP39" s="47">
        <v>115.1030865954264</v>
      </c>
      <c r="DQ39" s="47">
        <v>115.1030865954264</v>
      </c>
      <c r="DR39" s="47">
        <v>115.1030865954264</v>
      </c>
    </row>
    <row r="40" spans="1:122" s="43" customFormat="1" x14ac:dyDescent="0.35">
      <c r="C40" s="31" t="s">
        <v>111</v>
      </c>
      <c r="D40" s="40" t="s">
        <v>100</v>
      </c>
      <c r="E40" s="102">
        <v>21.936329819094301</v>
      </c>
      <c r="F40" s="47">
        <v>99.700701108841471</v>
      </c>
      <c r="G40" s="47">
        <v>99.818484672849152</v>
      </c>
      <c r="H40" s="47">
        <v>99.879761280228948</v>
      </c>
      <c r="I40" s="47">
        <v>99.925502676457512</v>
      </c>
      <c r="J40" s="47">
        <v>99.803645009981906</v>
      </c>
      <c r="K40" s="47">
        <v>99.826491386046541</v>
      </c>
      <c r="L40" s="47">
        <v>100.07105483219019</v>
      </c>
      <c r="M40" s="47">
        <v>100.04716619346206</v>
      </c>
      <c r="N40" s="47">
        <v>100.33810403268224</v>
      </c>
      <c r="O40" s="47">
        <v>99.908872441138001</v>
      </c>
      <c r="P40" s="47">
        <v>100.28784278944829</v>
      </c>
      <c r="Q40" s="47">
        <v>100.39237357667356</v>
      </c>
      <c r="R40" s="47">
        <v>101.17674592154229</v>
      </c>
      <c r="S40" s="47">
        <v>101.18440580492667</v>
      </c>
      <c r="T40" s="47">
        <v>101.3787607051095</v>
      </c>
      <c r="U40" s="47">
        <v>101.28387497525975</v>
      </c>
      <c r="V40" s="47">
        <v>101.50431974293267</v>
      </c>
      <c r="W40" s="47">
        <v>101.54300688222213</v>
      </c>
      <c r="X40" s="47">
        <v>99.342168865717952</v>
      </c>
      <c r="Y40" s="47">
        <v>100.02245678659925</v>
      </c>
      <c r="Z40" s="47">
        <v>99.954575444508038</v>
      </c>
      <c r="AA40" s="47">
        <v>106.10367762048418</v>
      </c>
      <c r="AB40" s="47">
        <v>106.03367373733829</v>
      </c>
      <c r="AC40" s="47">
        <v>106.38307777152478</v>
      </c>
      <c r="AD40" s="47">
        <v>106.57893193967341</v>
      </c>
      <c r="AE40" s="47">
        <v>107.21622249921289</v>
      </c>
      <c r="AF40" s="47">
        <v>108.32543449267638</v>
      </c>
      <c r="AG40" s="47">
        <v>108.05800056148885</v>
      </c>
      <c r="AH40" s="47">
        <v>106.77183598088466</v>
      </c>
      <c r="AI40" s="47">
        <v>107.02960751203076</v>
      </c>
      <c r="AJ40" s="47">
        <v>107.34312169118724</v>
      </c>
      <c r="AK40" s="47">
        <v>108.12108827624152</v>
      </c>
      <c r="AL40" s="47">
        <v>108.46981133741606</v>
      </c>
      <c r="AM40" s="47">
        <v>108.95827239656849</v>
      </c>
      <c r="AN40" s="47">
        <v>109.02006620258851</v>
      </c>
      <c r="AO40" s="47">
        <v>108.86214616474314</v>
      </c>
      <c r="AP40" s="47">
        <v>108.84856447627159</v>
      </c>
      <c r="AQ40" s="47">
        <v>103.58890405709553</v>
      </c>
      <c r="AR40" s="47">
        <v>104.16830422845028</v>
      </c>
      <c r="AS40" s="47">
        <v>98.433409156983075</v>
      </c>
      <c r="AT40" s="47">
        <v>98.417160175964412</v>
      </c>
      <c r="AU40" s="47">
        <v>98.565139375310935</v>
      </c>
      <c r="AV40" s="47">
        <v>98.18195527924874</v>
      </c>
      <c r="AW40" s="47">
        <v>97.375011591777479</v>
      </c>
      <c r="AX40" s="47">
        <v>97.443184617260698</v>
      </c>
      <c r="AY40" s="47">
        <v>97.310491036683828</v>
      </c>
      <c r="AZ40" s="47">
        <v>98.061627151597904</v>
      </c>
      <c r="BA40" s="47">
        <v>98.375638467163526</v>
      </c>
      <c r="BB40" s="47">
        <v>99.185034156679322</v>
      </c>
      <c r="BC40" s="47">
        <v>98.971421802909376</v>
      </c>
      <c r="BD40" s="47">
        <v>99.08918056681199</v>
      </c>
      <c r="BE40" s="47">
        <v>98.867405612614917</v>
      </c>
      <c r="BF40" s="47">
        <v>99.837412793032556</v>
      </c>
      <c r="BG40" s="47">
        <v>101.66579770195142</v>
      </c>
      <c r="BH40" s="47">
        <v>101.99405831676319</v>
      </c>
      <c r="BI40" s="47">
        <v>105.81116209687616</v>
      </c>
      <c r="BJ40" s="47">
        <v>109.99223327287775</v>
      </c>
      <c r="BK40" s="47">
        <v>111.24071418508822</v>
      </c>
      <c r="BL40" s="47">
        <v>113.30330909442493</v>
      </c>
      <c r="BM40" s="47">
        <v>114.02748794639157</v>
      </c>
      <c r="BN40" s="47">
        <v>119.42809551263382</v>
      </c>
      <c r="BO40" s="47">
        <v>119.46991915546676</v>
      </c>
      <c r="BP40" s="47">
        <v>121.77163358479744</v>
      </c>
      <c r="BQ40" s="47">
        <v>122.92815284475127</v>
      </c>
      <c r="BR40" s="47">
        <v>132.55235648678354</v>
      </c>
      <c r="BS40" s="47">
        <v>133.40751309569251</v>
      </c>
      <c r="BT40" s="47">
        <v>145.86298916040704</v>
      </c>
      <c r="BU40" s="47">
        <v>152.23940706194699</v>
      </c>
      <c r="BV40" s="47">
        <v>159.57151483107492</v>
      </c>
      <c r="BW40" s="47">
        <v>165.83554662781114</v>
      </c>
      <c r="BX40" s="47">
        <v>164.94974062876153</v>
      </c>
      <c r="BY40" s="47">
        <v>164.94974062876153</v>
      </c>
      <c r="BZ40" s="47">
        <v>164.18807725103702</v>
      </c>
      <c r="CA40" s="47">
        <v>164.18807725103702</v>
      </c>
      <c r="CB40" s="47">
        <v>159.20734982439762</v>
      </c>
      <c r="CC40" s="47">
        <v>156.40738391869732</v>
      </c>
      <c r="CD40" s="47">
        <v>156.40738391869732</v>
      </c>
      <c r="CE40" s="47">
        <v>154.87477834075688</v>
      </c>
      <c r="CF40" s="47">
        <v>153.9562470863151</v>
      </c>
      <c r="CG40" s="47">
        <v>155.19520002119251</v>
      </c>
      <c r="CH40" s="47">
        <v>155.19520002119251</v>
      </c>
      <c r="CI40" s="47">
        <v>155.19520002119251</v>
      </c>
      <c r="CJ40" s="47">
        <v>155.19520002119251</v>
      </c>
      <c r="CK40" s="47">
        <v>153.43631569551385</v>
      </c>
      <c r="CL40" s="47">
        <v>153.43631569551385</v>
      </c>
      <c r="CM40" s="47">
        <v>153.43631569551385</v>
      </c>
      <c r="CN40" s="47">
        <v>153.43631569551385</v>
      </c>
      <c r="CO40" s="47">
        <v>153.43631569551385</v>
      </c>
      <c r="CP40" s="47">
        <v>153.43631569551385</v>
      </c>
      <c r="CQ40" s="47">
        <v>153.43631569551385</v>
      </c>
      <c r="CR40" s="47">
        <v>150.82411869275654</v>
      </c>
      <c r="CS40" s="47">
        <v>149.55416890103703</v>
      </c>
      <c r="CT40" s="47">
        <v>149.69811027933403</v>
      </c>
      <c r="CU40" s="47">
        <v>149.90613748837714</v>
      </c>
      <c r="CV40" s="47">
        <v>150.3009104256943</v>
      </c>
      <c r="CW40" s="47">
        <v>150.3009104256943</v>
      </c>
      <c r="CX40" s="47">
        <v>150.3009104256943</v>
      </c>
      <c r="CY40" s="47">
        <v>150.3009104256943</v>
      </c>
      <c r="CZ40" s="47">
        <v>147.71805399738665</v>
      </c>
      <c r="DA40" s="47">
        <v>148.01971944946337</v>
      </c>
      <c r="DB40" s="47">
        <v>148.01971944946337</v>
      </c>
      <c r="DC40" s="47">
        <v>148.52901347216479</v>
      </c>
      <c r="DD40" s="47">
        <v>150.03494711025718</v>
      </c>
      <c r="DE40" s="47">
        <v>150.25160708340468</v>
      </c>
      <c r="DF40" s="47">
        <v>150.03494711025718</v>
      </c>
      <c r="DG40" s="47">
        <v>150.75384186459772</v>
      </c>
      <c r="DH40" s="47">
        <v>150.75384186459772</v>
      </c>
      <c r="DI40" s="47">
        <v>149.47565210554168</v>
      </c>
      <c r="DJ40" s="47">
        <v>148.20223175336761</v>
      </c>
      <c r="DK40" s="47">
        <v>148.20223175336761</v>
      </c>
      <c r="DL40" s="47">
        <v>149.32327937264569</v>
      </c>
      <c r="DM40" s="47">
        <v>149.32327937264569</v>
      </c>
      <c r="DN40" s="47">
        <v>149.32327937264569</v>
      </c>
      <c r="DO40" s="47">
        <v>148.57544394018151</v>
      </c>
      <c r="DP40" s="47">
        <v>148.46723128936961</v>
      </c>
      <c r="DQ40" s="47">
        <v>148.57544394018151</v>
      </c>
      <c r="DR40" s="47">
        <v>149.25686463437293</v>
      </c>
    </row>
    <row r="41" spans="1:122" s="43" customFormat="1" x14ac:dyDescent="0.35">
      <c r="C41" s="31" t="s">
        <v>112</v>
      </c>
      <c r="D41" s="40" t="s">
        <v>101</v>
      </c>
      <c r="E41" s="102">
        <v>6.6073233587270499</v>
      </c>
      <c r="F41" s="47">
        <v>99.933614447967017</v>
      </c>
      <c r="G41" s="47">
        <v>99.941297037239067</v>
      </c>
      <c r="H41" s="47">
        <v>99.941297037239067</v>
      </c>
      <c r="I41" s="47">
        <v>99.993845780282328</v>
      </c>
      <c r="J41" s="47">
        <v>99.993845780282328</v>
      </c>
      <c r="K41" s="47">
        <v>99.993845780282328</v>
      </c>
      <c r="L41" s="47">
        <v>100.04046462863879</v>
      </c>
      <c r="M41" s="47">
        <v>100.03315857033843</v>
      </c>
      <c r="N41" s="47">
        <v>99.993845780282328</v>
      </c>
      <c r="O41" s="47">
        <v>100.1005176705895</v>
      </c>
      <c r="P41" s="47">
        <v>99.993824324252799</v>
      </c>
      <c r="Q41" s="47">
        <v>100.04044316260583</v>
      </c>
      <c r="R41" s="47">
        <v>100.08110042937498</v>
      </c>
      <c r="S41" s="47">
        <v>99.961608930225481</v>
      </c>
      <c r="T41" s="47">
        <v>100.0024586863242</v>
      </c>
      <c r="U41" s="47">
        <v>100.0024586863242</v>
      </c>
      <c r="V41" s="47">
        <v>100.0024586863242</v>
      </c>
      <c r="W41" s="47">
        <v>99.961608930225481</v>
      </c>
      <c r="X41" s="47">
        <v>99.961608930225481</v>
      </c>
      <c r="Y41" s="47">
        <v>99.961608930225481</v>
      </c>
      <c r="Z41" s="47">
        <v>99.961608930225481</v>
      </c>
      <c r="AA41" s="47">
        <v>99.961608930225481</v>
      </c>
      <c r="AB41" s="47">
        <v>99.961608930225481</v>
      </c>
      <c r="AC41" s="47">
        <v>99.961608930225481</v>
      </c>
      <c r="AD41" s="47">
        <v>99.961608930225481</v>
      </c>
      <c r="AE41" s="47">
        <v>105.75669430738991</v>
      </c>
      <c r="AF41" s="47">
        <v>105.801852168677</v>
      </c>
      <c r="AG41" s="47">
        <v>105.801852168677</v>
      </c>
      <c r="AH41" s="47">
        <v>105.801852168677</v>
      </c>
      <c r="AI41" s="47">
        <v>105.97057540980963</v>
      </c>
      <c r="AJ41" s="47">
        <v>106.02739387163138</v>
      </c>
      <c r="AK41" s="47">
        <v>106.02739387163138</v>
      </c>
      <c r="AL41" s="47">
        <v>106.12509814240133</v>
      </c>
      <c r="AM41" s="47">
        <v>116.46694472115789</v>
      </c>
      <c r="AN41" s="47">
        <v>116.46694472115789</v>
      </c>
      <c r="AO41" s="47">
        <v>116.46694472115789</v>
      </c>
      <c r="AP41" s="47">
        <v>116.46694472115789</v>
      </c>
      <c r="AQ41" s="47">
        <v>116.56259801163665</v>
      </c>
      <c r="AR41" s="47">
        <v>116.56259801163665</v>
      </c>
      <c r="AS41" s="47">
        <v>116.61417023369846</v>
      </c>
      <c r="AT41" s="47">
        <v>116.61417023369846</v>
      </c>
      <c r="AU41" s="47">
        <v>116.61417023369846</v>
      </c>
      <c r="AV41" s="47">
        <v>116.61417023369846</v>
      </c>
      <c r="AW41" s="47">
        <v>116.61417023369846</v>
      </c>
      <c r="AX41" s="47">
        <v>116.61417023369846</v>
      </c>
      <c r="AY41" s="47">
        <v>116.61417023369846</v>
      </c>
      <c r="AZ41" s="47">
        <v>116.61417023369846</v>
      </c>
      <c r="BA41" s="47">
        <v>116.61417023369846</v>
      </c>
      <c r="BB41" s="47">
        <v>116.61417023369846</v>
      </c>
      <c r="BC41" s="47">
        <v>116.61417023369846</v>
      </c>
      <c r="BD41" s="47">
        <v>116.61417023369846</v>
      </c>
      <c r="BE41" s="47">
        <v>116.61417023369846</v>
      </c>
      <c r="BF41" s="47">
        <v>116.61417023369846</v>
      </c>
      <c r="BG41" s="47">
        <v>116.61417023369846</v>
      </c>
      <c r="BH41" s="47">
        <v>116.64020972294925</v>
      </c>
      <c r="BI41" s="47">
        <v>114.77021167473406</v>
      </c>
      <c r="BJ41" s="47">
        <v>114.77021167473406</v>
      </c>
      <c r="BK41" s="47">
        <v>112.19038826003865</v>
      </c>
      <c r="BL41" s="47">
        <v>112.19038826003865</v>
      </c>
      <c r="BM41" s="47">
        <v>112.19038826003865</v>
      </c>
      <c r="BN41" s="47">
        <v>112.19038826003865</v>
      </c>
      <c r="BO41" s="47">
        <v>112.21543993603382</v>
      </c>
      <c r="BP41" s="47">
        <v>112.12651067625097</v>
      </c>
      <c r="BQ41" s="47">
        <v>112.12651067625097</v>
      </c>
      <c r="BR41" s="47">
        <v>112.12651067625097</v>
      </c>
      <c r="BS41" s="47">
        <v>112.12651067625097</v>
      </c>
      <c r="BT41" s="47">
        <v>115.78403342351291</v>
      </c>
      <c r="BU41" s="47">
        <v>115.78403342351291</v>
      </c>
      <c r="BV41" s="47">
        <v>115.78403342351291</v>
      </c>
      <c r="BW41" s="47">
        <v>115.78403342351291</v>
      </c>
      <c r="BX41" s="47">
        <v>115.78403342351291</v>
      </c>
      <c r="BY41" s="47">
        <v>115.78403342351291</v>
      </c>
      <c r="BZ41" s="47">
        <v>115.78403342351291</v>
      </c>
      <c r="CA41" s="47">
        <v>116.18824607152435</v>
      </c>
      <c r="CB41" s="47">
        <v>116.18824607152435</v>
      </c>
      <c r="CC41" s="47">
        <v>116.18824607152435</v>
      </c>
      <c r="CD41" s="47">
        <v>116.18824607152435</v>
      </c>
      <c r="CE41" s="47">
        <v>127.69890492085969</v>
      </c>
      <c r="CF41" s="47">
        <v>127.93300321590165</v>
      </c>
      <c r="CG41" s="47">
        <v>127.93232408488402</v>
      </c>
      <c r="CH41" s="47">
        <v>127.93232408488402</v>
      </c>
      <c r="CI41" s="47">
        <v>125.63592270684484</v>
      </c>
      <c r="CJ41" s="47">
        <v>125.63592270684484</v>
      </c>
      <c r="CK41" s="47">
        <v>125.00763185783872</v>
      </c>
      <c r="CL41" s="47">
        <v>125.00763185783872</v>
      </c>
      <c r="CM41" s="47">
        <v>125.00763185783872</v>
      </c>
      <c r="CN41" s="47">
        <v>125.00763185783872</v>
      </c>
      <c r="CO41" s="47">
        <v>125.00763185783872</v>
      </c>
      <c r="CP41" s="47">
        <v>125.00763185783872</v>
      </c>
      <c r="CQ41" s="47">
        <v>125.00763185783872</v>
      </c>
      <c r="CR41" s="47">
        <v>124.35980074182666</v>
      </c>
      <c r="CS41" s="47">
        <v>124.35980074182666</v>
      </c>
      <c r="CT41" s="47">
        <v>124.35980074182666</v>
      </c>
      <c r="CU41" s="47">
        <v>124.35980074182666</v>
      </c>
      <c r="CV41" s="47">
        <v>124.35980074182666</v>
      </c>
      <c r="CW41" s="47">
        <v>124.35980074182666</v>
      </c>
      <c r="CX41" s="47">
        <v>124.35980074182666</v>
      </c>
      <c r="CY41" s="47">
        <v>124.35980074182666</v>
      </c>
      <c r="CZ41" s="47">
        <v>124.35980074182666</v>
      </c>
      <c r="DA41" s="47">
        <v>124.35980074182666</v>
      </c>
      <c r="DB41" s="47">
        <v>124.35980074182666</v>
      </c>
      <c r="DC41" s="47">
        <v>124.35980074182666</v>
      </c>
      <c r="DD41" s="47">
        <v>124.35980074182666</v>
      </c>
      <c r="DE41" s="47">
        <v>124.35980074182666</v>
      </c>
      <c r="DF41" s="47">
        <v>124.35980074182666</v>
      </c>
      <c r="DG41" s="47">
        <v>124.35980074182666</v>
      </c>
      <c r="DH41" s="47">
        <v>124.35980074182666</v>
      </c>
      <c r="DI41" s="47">
        <v>124.35980074182666</v>
      </c>
      <c r="DJ41" s="47">
        <v>124.35980074182666</v>
      </c>
      <c r="DK41" s="47">
        <v>124.35980074182666</v>
      </c>
      <c r="DL41" s="47">
        <v>124.35980074182666</v>
      </c>
      <c r="DM41" s="47">
        <v>124.35980074182666</v>
      </c>
      <c r="DN41" s="47">
        <v>124.35980074182666</v>
      </c>
      <c r="DO41" s="47">
        <v>124.35980074182666</v>
      </c>
      <c r="DP41" s="47">
        <v>124.35980074182666</v>
      </c>
      <c r="DQ41" s="47">
        <v>124.35980074182666</v>
      </c>
      <c r="DR41" s="47">
        <v>124.35980074182666</v>
      </c>
    </row>
    <row r="42" spans="1:122" x14ac:dyDescent="0.35">
      <c r="A42" s="44">
        <v>21</v>
      </c>
      <c r="B42" s="44"/>
      <c r="C42" s="44"/>
      <c r="D42" s="45" t="s">
        <v>22</v>
      </c>
      <c r="E42" s="103">
        <v>73.679830723938096</v>
      </c>
      <c r="F42" s="48">
        <v>99.298274164652341</v>
      </c>
      <c r="G42" s="48">
        <v>99.717258145605825</v>
      </c>
      <c r="H42" s="48">
        <v>99.575120795556387</v>
      </c>
      <c r="I42" s="48">
        <v>99.961533511521594</v>
      </c>
      <c r="J42" s="48">
        <v>100.6757222529186</v>
      </c>
      <c r="K42" s="48">
        <v>100.5826181809711</v>
      </c>
      <c r="L42" s="48">
        <v>99.916785765678583</v>
      </c>
      <c r="M42" s="48">
        <v>99.635297970259913</v>
      </c>
      <c r="N42" s="48">
        <v>98.66220037456938</v>
      </c>
      <c r="O42" s="48">
        <v>100.22717140799382</v>
      </c>
      <c r="P42" s="48">
        <v>100.59336315424628</v>
      </c>
      <c r="Q42" s="48">
        <v>101.15465427602615</v>
      </c>
      <c r="R42" s="48">
        <v>100.6339766527973</v>
      </c>
      <c r="S42" s="48">
        <v>100.70427665478691</v>
      </c>
      <c r="T42" s="48">
        <v>100.64105273026996</v>
      </c>
      <c r="U42" s="48">
        <v>100.94693627649931</v>
      </c>
      <c r="V42" s="48">
        <v>100.96903129106313</v>
      </c>
      <c r="W42" s="48">
        <v>101.51066919913026</v>
      </c>
      <c r="X42" s="48">
        <v>101.53869069536304</v>
      </c>
      <c r="Y42" s="48">
        <v>101.26346619608181</v>
      </c>
      <c r="Z42" s="48">
        <v>101.40051657216843</v>
      </c>
      <c r="AA42" s="48">
        <v>101.40571905793087</v>
      </c>
      <c r="AB42" s="48">
        <v>101.58275877534238</v>
      </c>
      <c r="AC42" s="48">
        <v>103.23047228026563</v>
      </c>
      <c r="AD42" s="48">
        <v>104.08129075890689</v>
      </c>
      <c r="AE42" s="48">
        <v>104.23619088218257</v>
      </c>
      <c r="AF42" s="48">
        <v>106.68866008003201</v>
      </c>
      <c r="AG42" s="48">
        <v>106.59246791542159</v>
      </c>
      <c r="AH42" s="48">
        <v>106.35573265761838</v>
      </c>
      <c r="AI42" s="48">
        <v>105.88264509902358</v>
      </c>
      <c r="AJ42" s="48">
        <v>106.01028636920003</v>
      </c>
      <c r="AK42" s="48">
        <v>105.82468617913933</v>
      </c>
      <c r="AL42" s="48">
        <v>106.86876471930954</v>
      </c>
      <c r="AM42" s="48">
        <v>107.06231557837384</v>
      </c>
      <c r="AN42" s="48">
        <v>106.63207860971475</v>
      </c>
      <c r="AO42" s="48">
        <v>105.96519839109293</v>
      </c>
      <c r="AP42" s="48">
        <v>105.85832373151642</v>
      </c>
      <c r="AQ42" s="48">
        <v>105.93428920598974</v>
      </c>
      <c r="AR42" s="48">
        <v>103.91482137185778</v>
      </c>
      <c r="AS42" s="48">
        <v>104.84123239559706</v>
      </c>
      <c r="AT42" s="48">
        <v>105.40047519332515</v>
      </c>
      <c r="AU42" s="48">
        <v>105.26946178493957</v>
      </c>
      <c r="AV42" s="48">
        <v>105.56545965119679</v>
      </c>
      <c r="AW42" s="48">
        <v>105.6972487229302</v>
      </c>
      <c r="AX42" s="48">
        <v>108.03474629605014</v>
      </c>
      <c r="AY42" s="48">
        <v>109.03895553086011</v>
      </c>
      <c r="AZ42" s="48">
        <v>109.10687860241015</v>
      </c>
      <c r="BA42" s="48">
        <v>113.39053460401962</v>
      </c>
      <c r="BB42" s="48">
        <v>112.6449617883471</v>
      </c>
      <c r="BC42" s="48">
        <v>112.33366828190186</v>
      </c>
      <c r="BD42" s="48">
        <v>112.33429805855562</v>
      </c>
      <c r="BE42" s="48">
        <v>112.29174644749284</v>
      </c>
      <c r="BF42" s="48">
        <v>112.23067543074212</v>
      </c>
      <c r="BG42" s="48">
        <v>111.93730991271553</v>
      </c>
      <c r="BH42" s="48">
        <v>112.389523351457</v>
      </c>
      <c r="BI42" s="48">
        <v>112.08454448990308</v>
      </c>
      <c r="BJ42" s="48">
        <v>111.73946708959602</v>
      </c>
      <c r="BK42" s="48">
        <v>111.37101566446717</v>
      </c>
      <c r="BL42" s="48">
        <v>110.16507590196575</v>
      </c>
      <c r="BM42" s="48">
        <v>110.32433347259506</v>
      </c>
      <c r="BN42" s="48">
        <v>110.62347634839247</v>
      </c>
      <c r="BO42" s="48">
        <v>110.29172079723379</v>
      </c>
      <c r="BP42" s="48">
        <v>110.16189581895659</v>
      </c>
      <c r="BQ42" s="48">
        <v>110.57092763307463</v>
      </c>
      <c r="BR42" s="48">
        <v>110.79351174541074</v>
      </c>
      <c r="BS42" s="48">
        <v>110.61555966783899</v>
      </c>
      <c r="BT42" s="48">
        <v>112.03534434341987</v>
      </c>
      <c r="BU42" s="48">
        <v>112.06533262508468</v>
      </c>
      <c r="BV42" s="48">
        <v>112.62860950689043</v>
      </c>
      <c r="BW42" s="48">
        <v>115.15217421220922</v>
      </c>
      <c r="BX42" s="48">
        <v>116.66592690703601</v>
      </c>
      <c r="BY42" s="48">
        <v>118.22676910988966</v>
      </c>
      <c r="BZ42" s="48">
        <v>119.13400479871744</v>
      </c>
      <c r="CA42" s="48">
        <v>120.3418214367516</v>
      </c>
      <c r="CB42" s="48">
        <v>120.1300839535848</v>
      </c>
      <c r="CC42" s="48">
        <v>120.10925582537193</v>
      </c>
      <c r="CD42" s="48">
        <v>121.18734992244794</v>
      </c>
      <c r="CE42" s="48">
        <v>120.69489295030444</v>
      </c>
      <c r="CF42" s="48">
        <v>120.28487118853279</v>
      </c>
      <c r="CG42" s="48">
        <v>120.05117964554212</v>
      </c>
      <c r="CH42" s="48">
        <v>120.28400916029413</v>
      </c>
      <c r="CI42" s="48">
        <v>120.29317381276041</v>
      </c>
      <c r="CJ42" s="48">
        <v>119.12166469925195</v>
      </c>
      <c r="CK42" s="48">
        <v>117.50282840515793</v>
      </c>
      <c r="CL42" s="48">
        <v>114.70425363309731</v>
      </c>
      <c r="CM42" s="48">
        <v>114.89484737347466</v>
      </c>
      <c r="CN42" s="48">
        <v>115.22626410220512</v>
      </c>
      <c r="CO42" s="48">
        <v>115.34479172170865</v>
      </c>
      <c r="CP42" s="48">
        <v>115.5216714185154</v>
      </c>
      <c r="CQ42" s="48">
        <v>115.51249887491794</v>
      </c>
      <c r="CR42" s="48">
        <v>115.86057666048161</v>
      </c>
      <c r="CS42" s="48">
        <v>116.31402102210932</v>
      </c>
      <c r="CT42" s="48">
        <v>117.09673901582451</v>
      </c>
      <c r="CU42" s="48">
        <v>116.61259266331386</v>
      </c>
      <c r="CV42" s="48">
        <v>116.40314400708343</v>
      </c>
      <c r="CW42" s="48">
        <v>116.10486076608485</v>
      </c>
      <c r="CX42" s="48">
        <v>115.41401547786226</v>
      </c>
      <c r="CY42" s="48">
        <v>113.8527909778212</v>
      </c>
      <c r="CZ42" s="48">
        <v>113.52516040259813</v>
      </c>
      <c r="DA42" s="48">
        <v>113.23350839709242</v>
      </c>
      <c r="DB42" s="48">
        <v>112.9579379730004</v>
      </c>
      <c r="DC42" s="48">
        <v>111.4686613529655</v>
      </c>
      <c r="DD42" s="48">
        <v>111.63377759777981</v>
      </c>
      <c r="DE42" s="48">
        <v>113.48675269940713</v>
      </c>
      <c r="DF42" s="48">
        <v>112.76361426348416</v>
      </c>
      <c r="DG42" s="48">
        <v>112.40465994338437</v>
      </c>
      <c r="DH42" s="48">
        <v>112.29582270310536</v>
      </c>
      <c r="DI42" s="48">
        <v>111.97440864402375</v>
      </c>
      <c r="DJ42" s="48">
        <v>111.84321648980074</v>
      </c>
      <c r="DK42" s="48">
        <v>111.68841608836581</v>
      </c>
      <c r="DL42" s="48">
        <v>111.30124571008106</v>
      </c>
      <c r="DM42" s="48">
        <v>110.32042488530385</v>
      </c>
      <c r="DN42" s="48">
        <v>111.086190839522</v>
      </c>
      <c r="DO42" s="48">
        <v>111.08679491031202</v>
      </c>
      <c r="DP42" s="48">
        <v>112.05999074682916</v>
      </c>
      <c r="DQ42" s="48">
        <v>112.1018386898149</v>
      </c>
      <c r="DR42" s="48">
        <v>113.60909644079736</v>
      </c>
    </row>
    <row r="43" spans="1:122" s="42" customFormat="1" x14ac:dyDescent="0.35">
      <c r="B43" s="42">
        <v>210</v>
      </c>
      <c r="C43" s="31" t="s">
        <v>113</v>
      </c>
      <c r="D43" s="40" t="s">
        <v>114</v>
      </c>
      <c r="E43" s="102">
        <v>73.679830723938096</v>
      </c>
      <c r="F43" s="41">
        <v>99.298274164652341</v>
      </c>
      <c r="G43" s="41">
        <v>99.717258145605825</v>
      </c>
      <c r="H43" s="41">
        <v>99.575120795556387</v>
      </c>
      <c r="I43" s="41">
        <v>99.961533511521594</v>
      </c>
      <c r="J43" s="41">
        <v>100.6757222529186</v>
      </c>
      <c r="K43" s="41">
        <v>100.5826181809711</v>
      </c>
      <c r="L43" s="41">
        <v>99.916785765678583</v>
      </c>
      <c r="M43" s="41">
        <v>99.635297970259913</v>
      </c>
      <c r="N43" s="41">
        <v>98.66220037456938</v>
      </c>
      <c r="O43" s="41">
        <v>100.22717140799382</v>
      </c>
      <c r="P43" s="41">
        <v>100.59336315424628</v>
      </c>
      <c r="Q43" s="41">
        <v>101.15465427602615</v>
      </c>
      <c r="R43" s="41">
        <v>100.6339766527973</v>
      </c>
      <c r="S43" s="41">
        <v>100.70427665478691</v>
      </c>
      <c r="T43" s="41">
        <v>100.64105273026996</v>
      </c>
      <c r="U43" s="41">
        <v>100.94693627649931</v>
      </c>
      <c r="V43" s="41">
        <v>100.96903129106313</v>
      </c>
      <c r="W43" s="41">
        <v>101.51066919913026</v>
      </c>
      <c r="X43" s="41">
        <v>101.53869069536304</v>
      </c>
      <c r="Y43" s="41">
        <v>101.26346619608181</v>
      </c>
      <c r="Z43" s="41">
        <v>101.40051657216843</v>
      </c>
      <c r="AA43" s="41">
        <v>101.40571905793087</v>
      </c>
      <c r="AB43" s="41">
        <v>101.58275877534238</v>
      </c>
      <c r="AC43" s="41">
        <v>103.23047228026563</v>
      </c>
      <c r="AD43" s="41">
        <v>104.08129075890689</v>
      </c>
      <c r="AE43" s="41">
        <v>104.23619088218257</v>
      </c>
      <c r="AF43" s="41">
        <v>106.68866008003201</v>
      </c>
      <c r="AG43" s="41">
        <v>106.59246791542159</v>
      </c>
      <c r="AH43" s="41">
        <v>106.35573265761838</v>
      </c>
      <c r="AI43" s="41">
        <v>105.88264509902358</v>
      </c>
      <c r="AJ43" s="41">
        <v>106.01028636920003</v>
      </c>
      <c r="AK43" s="41">
        <v>105.82468617913933</v>
      </c>
      <c r="AL43" s="41">
        <v>106.86876471930954</v>
      </c>
      <c r="AM43" s="41">
        <v>107.06231557837384</v>
      </c>
      <c r="AN43" s="41">
        <v>106.63207860971475</v>
      </c>
      <c r="AO43" s="41">
        <v>105.96519839109293</v>
      </c>
      <c r="AP43" s="41">
        <v>105.85832373151642</v>
      </c>
      <c r="AQ43" s="41">
        <v>105.93428920598974</v>
      </c>
      <c r="AR43" s="41">
        <v>103.91482137185778</v>
      </c>
      <c r="AS43" s="41">
        <v>104.84123239559706</v>
      </c>
      <c r="AT43" s="41">
        <v>105.40047519332515</v>
      </c>
      <c r="AU43" s="41">
        <v>105.26946178493957</v>
      </c>
      <c r="AV43" s="41">
        <v>105.56545965119679</v>
      </c>
      <c r="AW43" s="41">
        <v>105.6972487229302</v>
      </c>
      <c r="AX43" s="41">
        <v>108.03474629605014</v>
      </c>
      <c r="AY43" s="41">
        <v>109.03895553086011</v>
      </c>
      <c r="AZ43" s="41">
        <v>109.10687860241015</v>
      </c>
      <c r="BA43" s="41">
        <v>113.39053460401962</v>
      </c>
      <c r="BB43" s="41">
        <v>112.6449617883471</v>
      </c>
      <c r="BC43" s="41">
        <v>112.33366828190186</v>
      </c>
      <c r="BD43" s="41">
        <v>112.33429805855562</v>
      </c>
      <c r="BE43" s="41">
        <v>112.29174644749284</v>
      </c>
      <c r="BF43" s="41">
        <v>112.23067543074212</v>
      </c>
      <c r="BG43" s="41">
        <v>111.93730991271553</v>
      </c>
      <c r="BH43" s="41">
        <v>112.389523351457</v>
      </c>
      <c r="BI43" s="41">
        <v>112.08454448990308</v>
      </c>
      <c r="BJ43" s="41">
        <v>111.73946708959602</v>
      </c>
      <c r="BK43" s="41">
        <v>111.37101566446717</v>
      </c>
      <c r="BL43" s="41">
        <v>110.16507590196575</v>
      </c>
      <c r="BM43" s="41">
        <v>110.32433347259506</v>
      </c>
      <c r="BN43" s="41">
        <v>110.62347634839247</v>
      </c>
      <c r="BO43" s="41">
        <v>110.29172079723379</v>
      </c>
      <c r="BP43" s="41">
        <v>110.16189581895659</v>
      </c>
      <c r="BQ43" s="41">
        <v>110.57092763307463</v>
      </c>
      <c r="BR43" s="41">
        <v>110.79351174541074</v>
      </c>
      <c r="BS43" s="41">
        <v>110.61555966783899</v>
      </c>
      <c r="BT43" s="41">
        <v>112.03534434341987</v>
      </c>
      <c r="BU43" s="41">
        <v>112.06533262508468</v>
      </c>
      <c r="BV43" s="41">
        <v>112.62860950689043</v>
      </c>
      <c r="BW43" s="41">
        <v>115.15217421220922</v>
      </c>
      <c r="BX43" s="41">
        <v>116.66592690703601</v>
      </c>
      <c r="BY43" s="41">
        <v>118.22676910988966</v>
      </c>
      <c r="BZ43" s="41">
        <v>119.13400479871744</v>
      </c>
      <c r="CA43" s="41">
        <v>120.3418214367516</v>
      </c>
      <c r="CB43" s="41">
        <v>120.1300839535848</v>
      </c>
      <c r="CC43" s="41">
        <v>120.10925582537193</v>
      </c>
      <c r="CD43" s="41">
        <v>121.18734992244794</v>
      </c>
      <c r="CE43" s="41">
        <v>120.69489295030444</v>
      </c>
      <c r="CF43" s="41">
        <v>120.28487118853279</v>
      </c>
      <c r="CG43" s="41">
        <v>120.05117964554212</v>
      </c>
      <c r="CH43" s="41">
        <v>120.28400916029413</v>
      </c>
      <c r="CI43" s="41">
        <v>120.29317381276041</v>
      </c>
      <c r="CJ43" s="41">
        <v>119.12166469925195</v>
      </c>
      <c r="CK43" s="41">
        <v>117.50282840515793</v>
      </c>
      <c r="CL43" s="41">
        <v>114.70425363309731</v>
      </c>
      <c r="CM43" s="41">
        <v>114.89484737347466</v>
      </c>
      <c r="CN43" s="41">
        <v>115.22626410220512</v>
      </c>
      <c r="CO43" s="41">
        <v>115.34479172170865</v>
      </c>
      <c r="CP43" s="41">
        <v>115.5216714185154</v>
      </c>
      <c r="CQ43" s="41">
        <v>115.51249887491794</v>
      </c>
      <c r="CR43" s="41">
        <v>115.86057666048161</v>
      </c>
      <c r="CS43" s="41">
        <v>116.31402102210932</v>
      </c>
      <c r="CT43" s="41">
        <v>117.09673901582451</v>
      </c>
      <c r="CU43" s="41">
        <v>116.61259266331386</v>
      </c>
      <c r="CV43" s="41">
        <v>116.40314400708343</v>
      </c>
      <c r="CW43" s="41">
        <v>116.10486076608485</v>
      </c>
      <c r="CX43" s="41">
        <v>115.41401547786226</v>
      </c>
      <c r="CY43" s="41">
        <v>113.8527909778212</v>
      </c>
      <c r="CZ43" s="41">
        <v>113.52516040259813</v>
      </c>
      <c r="DA43" s="41">
        <v>113.23350839709242</v>
      </c>
      <c r="DB43" s="41">
        <v>112.9579379730004</v>
      </c>
      <c r="DC43" s="41">
        <v>111.4686613529655</v>
      </c>
      <c r="DD43" s="41">
        <v>111.63377759777981</v>
      </c>
      <c r="DE43" s="41">
        <v>113.48675269940713</v>
      </c>
      <c r="DF43" s="41">
        <v>112.76361426348416</v>
      </c>
      <c r="DG43" s="41">
        <v>112.40465994338437</v>
      </c>
      <c r="DH43" s="41">
        <v>112.29582270310536</v>
      </c>
      <c r="DI43" s="41">
        <v>111.97440864402375</v>
      </c>
      <c r="DJ43" s="41">
        <v>111.84321648980074</v>
      </c>
      <c r="DK43" s="41">
        <v>111.68841608836581</v>
      </c>
      <c r="DL43" s="41">
        <v>111.30124571008106</v>
      </c>
      <c r="DM43" s="41">
        <v>110.32042488530385</v>
      </c>
      <c r="DN43" s="41">
        <v>111.086190839522</v>
      </c>
      <c r="DO43" s="41">
        <v>111.08679491031202</v>
      </c>
      <c r="DP43" s="41">
        <v>112.05999074682916</v>
      </c>
      <c r="DQ43" s="41">
        <v>112.1018386898149</v>
      </c>
      <c r="DR43" s="41">
        <v>113.60909644079736</v>
      </c>
    </row>
    <row r="44" spans="1:122" x14ac:dyDescent="0.35">
      <c r="A44" s="44">
        <v>22</v>
      </c>
      <c r="B44" s="44"/>
      <c r="C44" s="44"/>
      <c r="D44" s="45" t="s">
        <v>23</v>
      </c>
      <c r="E44" s="103">
        <v>26.9776838755276</v>
      </c>
      <c r="F44" s="48">
        <v>100.02937048992852</v>
      </c>
      <c r="G44" s="48">
        <v>99.916163177043799</v>
      </c>
      <c r="H44" s="48">
        <v>99.935760910627664</v>
      </c>
      <c r="I44" s="48">
        <v>99.77886427590137</v>
      </c>
      <c r="J44" s="48">
        <v>100.06976440969298</v>
      </c>
      <c r="K44" s="48">
        <v>100.06976440969298</v>
      </c>
      <c r="L44" s="48">
        <v>100.06976440969298</v>
      </c>
      <c r="M44" s="48">
        <v>100.09345546356447</v>
      </c>
      <c r="N44" s="48">
        <v>100.17759921351796</v>
      </c>
      <c r="O44" s="48">
        <v>99.938532345029913</v>
      </c>
      <c r="P44" s="48">
        <v>99.961867242973057</v>
      </c>
      <c r="Q44" s="48">
        <v>99.959093652334147</v>
      </c>
      <c r="R44" s="48">
        <v>100.21139371452108</v>
      </c>
      <c r="S44" s="48">
        <v>100.21299423376212</v>
      </c>
      <c r="T44" s="48">
        <v>100.21299423376212</v>
      </c>
      <c r="U44" s="48">
        <v>100.21299423376212</v>
      </c>
      <c r="V44" s="48">
        <v>100.20355434235059</v>
      </c>
      <c r="W44" s="48">
        <v>100.30020893881957</v>
      </c>
      <c r="X44" s="48">
        <v>100.54284906655616</v>
      </c>
      <c r="Y44" s="48">
        <v>100.54284906655616</v>
      </c>
      <c r="Z44" s="48">
        <v>100.59535348427303</v>
      </c>
      <c r="AA44" s="48">
        <v>104.27383752719275</v>
      </c>
      <c r="AB44" s="48">
        <v>104.30270607226095</v>
      </c>
      <c r="AC44" s="48">
        <v>105.27239579567571</v>
      </c>
      <c r="AD44" s="48">
        <v>106.72084171718971</v>
      </c>
      <c r="AE44" s="48">
        <v>106.7034940129296</v>
      </c>
      <c r="AF44" s="48">
        <v>106.2133727487323</v>
      </c>
      <c r="AG44" s="48">
        <v>105.98499548538099</v>
      </c>
      <c r="AH44" s="48">
        <v>106.01514376089024</v>
      </c>
      <c r="AI44" s="48">
        <v>105.85235373504143</v>
      </c>
      <c r="AJ44" s="48">
        <v>105.85235373504143</v>
      </c>
      <c r="AK44" s="48">
        <v>104.65777295393818</v>
      </c>
      <c r="AL44" s="48">
        <v>104.69988070507873</v>
      </c>
      <c r="AM44" s="48">
        <v>103.68056615394991</v>
      </c>
      <c r="AN44" s="48">
        <v>103.66621651467879</v>
      </c>
      <c r="AO44" s="48">
        <v>103.09070909426859</v>
      </c>
      <c r="AP44" s="48">
        <v>102.64940866067657</v>
      </c>
      <c r="AQ44" s="48">
        <v>102.67020137768215</v>
      </c>
      <c r="AR44" s="48">
        <v>102.35131154687721</v>
      </c>
      <c r="AS44" s="48">
        <v>102.21663641871815</v>
      </c>
      <c r="AT44" s="48">
        <v>102.22417579213275</v>
      </c>
      <c r="AU44" s="48">
        <v>102.22417579213275</v>
      </c>
      <c r="AV44" s="48">
        <v>101.88113587064858</v>
      </c>
      <c r="AW44" s="48">
        <v>101.88113587064858</v>
      </c>
      <c r="AX44" s="48">
        <v>101.88113587064858</v>
      </c>
      <c r="AY44" s="48">
        <v>100.12797744221778</v>
      </c>
      <c r="AZ44" s="48">
        <v>100.13860348440784</v>
      </c>
      <c r="BA44" s="48">
        <v>100.13860348440784</v>
      </c>
      <c r="BB44" s="48">
        <v>100.26216074323089</v>
      </c>
      <c r="BC44" s="48">
        <v>100.26216074323089</v>
      </c>
      <c r="BD44" s="48">
        <v>100.26216074323089</v>
      </c>
      <c r="BE44" s="48">
        <v>100.26216074323089</v>
      </c>
      <c r="BF44" s="48">
        <v>100.26216074323089</v>
      </c>
      <c r="BG44" s="48">
        <v>101.00105538268639</v>
      </c>
      <c r="BH44" s="48">
        <v>103.66734980473356</v>
      </c>
      <c r="BI44" s="48">
        <v>103.66734980473356</v>
      </c>
      <c r="BJ44" s="48">
        <v>103.66734980473356</v>
      </c>
      <c r="BK44" s="48">
        <v>103.69516509297536</v>
      </c>
      <c r="BL44" s="48">
        <v>103.69516509297536</v>
      </c>
      <c r="BM44" s="48">
        <v>103.68999103877751</v>
      </c>
      <c r="BN44" s="48">
        <v>103.71279834101681</v>
      </c>
      <c r="BO44" s="48">
        <v>103.71875331171293</v>
      </c>
      <c r="BP44" s="48">
        <v>104.15956936396127</v>
      </c>
      <c r="BQ44" s="48">
        <v>107.88928844890088</v>
      </c>
      <c r="BR44" s="48">
        <v>107.88928844890088</v>
      </c>
      <c r="BS44" s="48">
        <v>108.0520663751295</v>
      </c>
      <c r="BT44" s="48">
        <v>108.25346112489056</v>
      </c>
      <c r="BU44" s="48">
        <v>107.52926615648475</v>
      </c>
      <c r="BV44" s="48">
        <v>107.88618113429676</v>
      </c>
      <c r="BW44" s="48">
        <v>107.77905443283966</v>
      </c>
      <c r="BX44" s="48">
        <v>108.16786191490276</v>
      </c>
      <c r="BY44" s="48">
        <v>109.58787547135738</v>
      </c>
      <c r="BZ44" s="48">
        <v>110.01306368560469</v>
      </c>
      <c r="CA44" s="48">
        <v>110.01306368560469</v>
      </c>
      <c r="CB44" s="48">
        <v>110.01306368560469</v>
      </c>
      <c r="CC44" s="48">
        <v>110.21880088775823</v>
      </c>
      <c r="CD44" s="48">
        <v>110.21880088775823</v>
      </c>
      <c r="CE44" s="48">
        <v>111.39406886154475</v>
      </c>
      <c r="CF44" s="48">
        <v>111.85751378380156</v>
      </c>
      <c r="CG44" s="48">
        <v>111.85955975874167</v>
      </c>
      <c r="CH44" s="48">
        <v>110.81355112675668</v>
      </c>
      <c r="CI44" s="48">
        <v>110.81355112675668</v>
      </c>
      <c r="CJ44" s="48">
        <v>110.81355112675668</v>
      </c>
      <c r="CK44" s="48">
        <v>109.75907612615438</v>
      </c>
      <c r="CL44" s="48">
        <v>109.82707906697871</v>
      </c>
      <c r="CM44" s="48">
        <v>109.82707906697871</v>
      </c>
      <c r="CN44" s="48">
        <v>109.74459743732419</v>
      </c>
      <c r="CO44" s="48">
        <v>109.30365039442302</v>
      </c>
      <c r="CP44" s="48">
        <v>109.30365039442302</v>
      </c>
      <c r="CQ44" s="48">
        <v>109.30508056523263</v>
      </c>
      <c r="CR44" s="48">
        <v>109.17835657502216</v>
      </c>
      <c r="CS44" s="48">
        <v>107.602095743026</v>
      </c>
      <c r="CT44" s="48">
        <v>107.602095743026</v>
      </c>
      <c r="CU44" s="48">
        <v>107.62372251604211</v>
      </c>
      <c r="CV44" s="48">
        <v>107.62372251604211</v>
      </c>
      <c r="CW44" s="48">
        <v>107.65407694998069</v>
      </c>
      <c r="CX44" s="48">
        <v>107.65407694998069</v>
      </c>
      <c r="CY44" s="48">
        <v>107.65338072070044</v>
      </c>
      <c r="CZ44" s="48">
        <v>107.60516324449893</v>
      </c>
      <c r="DA44" s="48">
        <v>107.60516324449893</v>
      </c>
      <c r="DB44" s="48">
        <v>107.65478929874982</v>
      </c>
      <c r="DC44" s="48">
        <v>107.72553308069786</v>
      </c>
      <c r="DD44" s="48">
        <v>107.80156959755611</v>
      </c>
      <c r="DE44" s="48">
        <v>107.76891751671793</v>
      </c>
      <c r="DF44" s="48">
        <v>107.83029393500151</v>
      </c>
      <c r="DG44" s="48">
        <v>107.54589194345239</v>
      </c>
      <c r="DH44" s="48">
        <v>107.21878428274024</v>
      </c>
      <c r="DI44" s="48">
        <v>107.21878428274024</v>
      </c>
      <c r="DJ44" s="48">
        <v>107.21878428274024</v>
      </c>
      <c r="DK44" s="48">
        <v>106.73956637604994</v>
      </c>
      <c r="DL44" s="48">
        <v>106.69727712421495</v>
      </c>
      <c r="DM44" s="48">
        <v>106.69727712421495</v>
      </c>
      <c r="DN44" s="48">
        <v>106.69727712421495</v>
      </c>
      <c r="DO44" s="48">
        <v>106.69666683565178</v>
      </c>
      <c r="DP44" s="48">
        <v>106.97929747507911</v>
      </c>
      <c r="DQ44" s="48">
        <v>106.97929747507911</v>
      </c>
      <c r="DR44" s="48">
        <v>107.22607355066182</v>
      </c>
    </row>
    <row r="45" spans="1:122" s="42" customFormat="1" x14ac:dyDescent="0.35">
      <c r="B45" s="42">
        <v>220</v>
      </c>
      <c r="C45" s="37">
        <v>2220</v>
      </c>
      <c r="D45" s="40" t="s">
        <v>117</v>
      </c>
      <c r="E45" s="102">
        <v>26.9776838755276</v>
      </c>
      <c r="F45" s="41">
        <v>100.02937048992852</v>
      </c>
      <c r="G45" s="41">
        <v>99.916163177043799</v>
      </c>
      <c r="H45" s="41">
        <v>99.935760910627664</v>
      </c>
      <c r="I45" s="41">
        <v>99.77886427590137</v>
      </c>
      <c r="J45" s="41">
        <v>100.06976440969298</v>
      </c>
      <c r="K45" s="41">
        <v>100.06976440969298</v>
      </c>
      <c r="L45" s="41">
        <v>100.06976440969298</v>
      </c>
      <c r="M45" s="41">
        <v>100.09345546356447</v>
      </c>
      <c r="N45" s="41">
        <v>100.17759921351796</v>
      </c>
      <c r="O45" s="41">
        <v>99.938532345029913</v>
      </c>
      <c r="P45" s="41">
        <v>99.961867242973057</v>
      </c>
      <c r="Q45" s="41">
        <v>99.959093652334147</v>
      </c>
      <c r="R45" s="41">
        <v>100.21139371452108</v>
      </c>
      <c r="S45" s="41">
        <v>100.21299423376212</v>
      </c>
      <c r="T45" s="41">
        <v>100.21299423376212</v>
      </c>
      <c r="U45" s="41">
        <v>100.21299423376212</v>
      </c>
      <c r="V45" s="41">
        <v>100.20355434235059</v>
      </c>
      <c r="W45" s="41">
        <v>100.30020893881957</v>
      </c>
      <c r="X45" s="41">
        <v>100.54284906655616</v>
      </c>
      <c r="Y45" s="41">
        <v>100.54284906655616</v>
      </c>
      <c r="Z45" s="41">
        <v>100.59535348427303</v>
      </c>
      <c r="AA45" s="41">
        <v>104.27383752719275</v>
      </c>
      <c r="AB45" s="41">
        <v>104.30270607226095</v>
      </c>
      <c r="AC45" s="41">
        <v>105.27239579567571</v>
      </c>
      <c r="AD45" s="41">
        <v>106.72084171718971</v>
      </c>
      <c r="AE45" s="41">
        <v>106.7034940129296</v>
      </c>
      <c r="AF45" s="41">
        <v>106.2133727487323</v>
      </c>
      <c r="AG45" s="41">
        <v>105.98499548538099</v>
      </c>
      <c r="AH45" s="41">
        <v>106.01514376089024</v>
      </c>
      <c r="AI45" s="41">
        <v>105.85235373504143</v>
      </c>
      <c r="AJ45" s="41">
        <v>105.85235373504143</v>
      </c>
      <c r="AK45" s="41">
        <v>104.65777295393818</v>
      </c>
      <c r="AL45" s="41">
        <v>104.69988070507873</v>
      </c>
      <c r="AM45" s="41">
        <v>103.68056615394991</v>
      </c>
      <c r="AN45" s="41">
        <v>103.66621651467879</v>
      </c>
      <c r="AO45" s="41">
        <v>103.09070909426859</v>
      </c>
      <c r="AP45" s="41">
        <v>102.64940866067657</v>
      </c>
      <c r="AQ45" s="41">
        <v>102.67020137768215</v>
      </c>
      <c r="AR45" s="41">
        <v>102.35131154687721</v>
      </c>
      <c r="AS45" s="41">
        <v>102.21663641871815</v>
      </c>
      <c r="AT45" s="41">
        <v>102.22417579213275</v>
      </c>
      <c r="AU45" s="41">
        <v>102.22417579213275</v>
      </c>
      <c r="AV45" s="41">
        <v>101.88113587064858</v>
      </c>
      <c r="AW45" s="41">
        <v>101.88113587064858</v>
      </c>
      <c r="AX45" s="41">
        <v>101.88113587064858</v>
      </c>
      <c r="AY45" s="41">
        <v>100.12797744221778</v>
      </c>
      <c r="AZ45" s="41">
        <v>100.13860348440784</v>
      </c>
      <c r="BA45" s="41">
        <v>100.13860348440784</v>
      </c>
      <c r="BB45" s="41">
        <v>100.26216074323089</v>
      </c>
      <c r="BC45" s="41">
        <v>100.26216074323089</v>
      </c>
      <c r="BD45" s="41">
        <v>100.26216074323089</v>
      </c>
      <c r="BE45" s="41">
        <v>100.26216074323089</v>
      </c>
      <c r="BF45" s="41">
        <v>100.26216074323089</v>
      </c>
      <c r="BG45" s="41">
        <v>101.00105538268639</v>
      </c>
      <c r="BH45" s="41">
        <v>103.66734980473356</v>
      </c>
      <c r="BI45" s="41">
        <v>103.66734980473356</v>
      </c>
      <c r="BJ45" s="41">
        <v>103.66734980473356</v>
      </c>
      <c r="BK45" s="41">
        <v>103.69516509297536</v>
      </c>
      <c r="BL45" s="41">
        <v>103.69516509297536</v>
      </c>
      <c r="BM45" s="41">
        <v>103.68999103877751</v>
      </c>
      <c r="BN45" s="41">
        <v>103.71279834101681</v>
      </c>
      <c r="BO45" s="41">
        <v>103.71875331171293</v>
      </c>
      <c r="BP45" s="41">
        <v>104.15956936396127</v>
      </c>
      <c r="BQ45" s="41">
        <v>107.88928844890088</v>
      </c>
      <c r="BR45" s="41">
        <v>107.88928844890088</v>
      </c>
      <c r="BS45" s="41">
        <v>108.0520663751295</v>
      </c>
      <c r="BT45" s="41">
        <v>108.25346112489056</v>
      </c>
      <c r="BU45" s="41">
        <v>107.52926615648475</v>
      </c>
      <c r="BV45" s="41">
        <v>107.88618113429676</v>
      </c>
      <c r="BW45" s="41">
        <v>107.77905443283966</v>
      </c>
      <c r="BX45" s="41">
        <v>108.16786191490276</v>
      </c>
      <c r="BY45" s="41">
        <v>109.58787547135738</v>
      </c>
      <c r="BZ45" s="41">
        <v>110.01306368560469</v>
      </c>
      <c r="CA45" s="41">
        <v>110.01306368560469</v>
      </c>
      <c r="CB45" s="41">
        <v>110.01306368560469</v>
      </c>
      <c r="CC45" s="41">
        <v>110.21880088775823</v>
      </c>
      <c r="CD45" s="41">
        <v>110.21880088775823</v>
      </c>
      <c r="CE45" s="41">
        <v>111.39406886154475</v>
      </c>
      <c r="CF45" s="41">
        <v>111.85751378380156</v>
      </c>
      <c r="CG45" s="41">
        <v>111.85955975874167</v>
      </c>
      <c r="CH45" s="41">
        <v>110.81355112675668</v>
      </c>
      <c r="CI45" s="41">
        <v>110.81355112675668</v>
      </c>
      <c r="CJ45" s="41">
        <v>110.81355112675668</v>
      </c>
      <c r="CK45" s="41">
        <v>109.75907612615438</v>
      </c>
      <c r="CL45" s="41">
        <v>109.82707906697871</v>
      </c>
      <c r="CM45" s="41">
        <v>109.82707906697871</v>
      </c>
      <c r="CN45" s="41">
        <v>109.74459743732419</v>
      </c>
      <c r="CO45" s="41">
        <v>109.30365039442302</v>
      </c>
      <c r="CP45" s="41">
        <v>109.30365039442302</v>
      </c>
      <c r="CQ45" s="41">
        <v>109.30508056523263</v>
      </c>
      <c r="CR45" s="41">
        <v>109.17835657502216</v>
      </c>
      <c r="CS45" s="41">
        <v>107.602095743026</v>
      </c>
      <c r="CT45" s="41">
        <v>107.602095743026</v>
      </c>
      <c r="CU45" s="41">
        <v>107.62372251604211</v>
      </c>
      <c r="CV45" s="41">
        <v>107.62372251604211</v>
      </c>
      <c r="CW45" s="41">
        <v>107.65407694998069</v>
      </c>
      <c r="CX45" s="41">
        <v>107.65407694998069</v>
      </c>
      <c r="CY45" s="41">
        <v>107.65338072070044</v>
      </c>
      <c r="CZ45" s="41">
        <v>107.60516324449893</v>
      </c>
      <c r="DA45" s="41">
        <v>107.60516324449893</v>
      </c>
      <c r="DB45" s="41">
        <v>107.65478929874982</v>
      </c>
      <c r="DC45" s="41">
        <v>107.72553308069786</v>
      </c>
      <c r="DD45" s="41">
        <v>107.80156959755611</v>
      </c>
      <c r="DE45" s="41">
        <v>107.76891751671793</v>
      </c>
      <c r="DF45" s="41">
        <v>107.83029393500151</v>
      </c>
      <c r="DG45" s="41">
        <v>107.54589194345239</v>
      </c>
      <c r="DH45" s="41">
        <v>107.21878428274024</v>
      </c>
      <c r="DI45" s="41">
        <v>107.21878428274024</v>
      </c>
      <c r="DJ45" s="41">
        <v>107.21878428274024</v>
      </c>
      <c r="DK45" s="41">
        <v>106.73956637604994</v>
      </c>
      <c r="DL45" s="41">
        <v>106.69727712421495</v>
      </c>
      <c r="DM45" s="41">
        <v>106.69727712421495</v>
      </c>
      <c r="DN45" s="41">
        <v>106.69727712421495</v>
      </c>
      <c r="DO45" s="41">
        <v>106.69666683565178</v>
      </c>
      <c r="DP45" s="41">
        <v>106.97929747507911</v>
      </c>
      <c r="DQ45" s="41">
        <v>106.97929747507911</v>
      </c>
      <c r="DR45" s="41">
        <v>107.22607355066182</v>
      </c>
    </row>
    <row r="46" spans="1:122" s="6" customFormat="1" ht="31" x14ac:dyDescent="0.35">
      <c r="A46" s="57">
        <v>23</v>
      </c>
      <c r="B46" s="57"/>
      <c r="C46" s="57"/>
      <c r="D46" s="58" t="s">
        <v>24</v>
      </c>
      <c r="E46" s="101">
        <v>50.593883394645502</v>
      </c>
      <c r="F46" s="24">
        <v>100.19025308847128</v>
      </c>
      <c r="G46" s="24">
        <v>100.19025308847128</v>
      </c>
      <c r="H46" s="24">
        <v>100.19025308847128</v>
      </c>
      <c r="I46" s="24">
        <v>100.19025308847128</v>
      </c>
      <c r="J46" s="24">
        <v>100.19025308847128</v>
      </c>
      <c r="K46" s="24">
        <v>100.19025308847128</v>
      </c>
      <c r="L46" s="24">
        <v>100.19025308847128</v>
      </c>
      <c r="M46" s="24">
        <v>100.19025308847128</v>
      </c>
      <c r="N46" s="24">
        <v>100.19025308847128</v>
      </c>
      <c r="O46" s="24">
        <v>100.19031609894058</v>
      </c>
      <c r="P46" s="24">
        <v>99.274439788342107</v>
      </c>
      <c r="Q46" s="24">
        <v>98.822966316475899</v>
      </c>
      <c r="R46" s="24">
        <v>96.875698917056653</v>
      </c>
      <c r="S46" s="24">
        <v>96.875698917056653</v>
      </c>
      <c r="T46" s="24">
        <v>96.874917664362854</v>
      </c>
      <c r="U46" s="24">
        <v>92.767575478583751</v>
      </c>
      <c r="V46" s="24">
        <v>92.767575478583751</v>
      </c>
      <c r="W46" s="24">
        <v>92.766123994976752</v>
      </c>
      <c r="X46" s="24">
        <v>93.808563684778406</v>
      </c>
      <c r="Y46" s="24">
        <v>94.829485314567577</v>
      </c>
      <c r="Z46" s="24">
        <v>95.658891461444441</v>
      </c>
      <c r="AA46" s="24">
        <v>96.84055295803482</v>
      </c>
      <c r="AB46" s="24">
        <v>96.861785192191263</v>
      </c>
      <c r="AC46" s="24">
        <v>95.914466928600248</v>
      </c>
      <c r="AD46" s="24">
        <v>94.189638937414728</v>
      </c>
      <c r="AE46" s="24">
        <v>90.139205859098666</v>
      </c>
      <c r="AF46" s="24">
        <v>89.164854932614574</v>
      </c>
      <c r="AG46" s="24">
        <v>89.146937760061917</v>
      </c>
      <c r="AH46" s="24">
        <v>89.146937760061917</v>
      </c>
      <c r="AI46" s="24">
        <v>90.029579694152545</v>
      </c>
      <c r="AJ46" s="24">
        <v>90.200033907664178</v>
      </c>
      <c r="AK46" s="24">
        <v>90.651973355115487</v>
      </c>
      <c r="AL46" s="24">
        <v>90.651973355115487</v>
      </c>
      <c r="AM46" s="24">
        <v>90.651973355115487</v>
      </c>
      <c r="AN46" s="24">
        <v>90.378593162923664</v>
      </c>
      <c r="AO46" s="24">
        <v>90.378593162923664</v>
      </c>
      <c r="AP46" s="24">
        <v>90.378593162923664</v>
      </c>
      <c r="AQ46" s="24">
        <v>88.746167435744155</v>
      </c>
      <c r="AR46" s="24">
        <v>88.470837179701235</v>
      </c>
      <c r="AS46" s="24">
        <v>88.470837179701235</v>
      </c>
      <c r="AT46" s="24">
        <v>88.470837179701235</v>
      </c>
      <c r="AU46" s="24">
        <v>88.469780631646287</v>
      </c>
      <c r="AV46" s="24">
        <v>88.450445837743246</v>
      </c>
      <c r="AW46" s="24">
        <v>88.446353645472811</v>
      </c>
      <c r="AX46" s="24">
        <v>88.446353645472811</v>
      </c>
      <c r="AY46" s="24">
        <v>88.446353645472811</v>
      </c>
      <c r="AZ46" s="24">
        <v>88.446353645472811</v>
      </c>
      <c r="BA46" s="24">
        <v>88.446353645472811</v>
      </c>
      <c r="BB46" s="24">
        <v>88.446353645472811</v>
      </c>
      <c r="BC46" s="24">
        <v>88.647146161557075</v>
      </c>
      <c r="BD46" s="24">
        <v>89.124798540146884</v>
      </c>
      <c r="BE46" s="24">
        <v>89.124798540146884</v>
      </c>
      <c r="BF46" s="24">
        <v>89.124798540146884</v>
      </c>
      <c r="BG46" s="24">
        <v>88.547052940593005</v>
      </c>
      <c r="BH46" s="24">
        <v>88.650296037185996</v>
      </c>
      <c r="BI46" s="24">
        <v>88.650296037185996</v>
      </c>
      <c r="BJ46" s="24">
        <v>88.650296037185996</v>
      </c>
      <c r="BK46" s="24">
        <v>89.412035538772528</v>
      </c>
      <c r="BL46" s="24">
        <v>89.085847028689756</v>
      </c>
      <c r="BM46" s="24">
        <v>89.07212881000099</v>
      </c>
      <c r="BN46" s="24">
        <v>89.080797939897067</v>
      </c>
      <c r="BO46" s="24">
        <v>89.080797939897067</v>
      </c>
      <c r="BP46" s="24">
        <v>89.72787942383944</v>
      </c>
      <c r="BQ46" s="24">
        <v>89.72787942383944</v>
      </c>
      <c r="BR46" s="24">
        <v>90.079662102342041</v>
      </c>
      <c r="BS46" s="24">
        <v>90.079662102342041</v>
      </c>
      <c r="BT46" s="24">
        <v>90.079662102342041</v>
      </c>
      <c r="BU46" s="24">
        <v>90.465818078664853</v>
      </c>
      <c r="BV46" s="24">
        <v>94.650659307077646</v>
      </c>
      <c r="BW46" s="24">
        <v>98.637315172371231</v>
      </c>
      <c r="BX46" s="24">
        <v>100.82395607799501</v>
      </c>
      <c r="BY46" s="24">
        <v>99.87365364986313</v>
      </c>
      <c r="BZ46" s="24">
        <v>99.093782020583703</v>
      </c>
      <c r="CA46" s="24">
        <v>99.093782020583703</v>
      </c>
      <c r="CB46" s="24">
        <v>99.093782020583703</v>
      </c>
      <c r="CC46" s="24">
        <v>99.093782020583703</v>
      </c>
      <c r="CD46" s="24">
        <v>99.093782020583703</v>
      </c>
      <c r="CE46" s="24">
        <v>99.102567614843082</v>
      </c>
      <c r="CF46" s="24">
        <v>99.102567614843082</v>
      </c>
      <c r="CG46" s="24">
        <v>99.102567614843082</v>
      </c>
      <c r="CH46" s="24">
        <v>99.093523678791755</v>
      </c>
      <c r="CI46" s="24">
        <v>99.093523678791755</v>
      </c>
      <c r="CJ46" s="24">
        <v>102.30042132132021</v>
      </c>
      <c r="CK46" s="24">
        <v>102.30042132132021</v>
      </c>
      <c r="CL46" s="24">
        <v>102.38253231842388</v>
      </c>
      <c r="CM46" s="24">
        <v>102.39018086660354</v>
      </c>
      <c r="CN46" s="24">
        <v>102.39014918164092</v>
      </c>
      <c r="CO46" s="24">
        <v>102.39014918164092</v>
      </c>
      <c r="CP46" s="24">
        <v>102.39014918164092</v>
      </c>
      <c r="CQ46" s="24">
        <v>102.39014918164092</v>
      </c>
      <c r="CR46" s="24">
        <v>102.39014918164092</v>
      </c>
      <c r="CS46" s="24">
        <v>102.39014918164092</v>
      </c>
      <c r="CT46" s="24">
        <v>103.0699194412788</v>
      </c>
      <c r="CU46" s="24">
        <v>105.39203906164462</v>
      </c>
      <c r="CV46" s="24">
        <v>105.39203906164462</v>
      </c>
      <c r="CW46" s="24">
        <v>105.40185070582044</v>
      </c>
      <c r="CX46" s="24">
        <v>105.40185070582044</v>
      </c>
      <c r="CY46" s="24">
        <v>105.4042980209143</v>
      </c>
      <c r="CZ46" s="24">
        <v>104.66417863942752</v>
      </c>
      <c r="DA46" s="24">
        <v>104.66417863942752</v>
      </c>
      <c r="DB46" s="24">
        <v>104.66417863942752</v>
      </c>
      <c r="DC46" s="24">
        <v>104.66793196669482</v>
      </c>
      <c r="DD46" s="24">
        <v>104.66973731172888</v>
      </c>
      <c r="DE46" s="24">
        <v>104.66973731172888</v>
      </c>
      <c r="DF46" s="24">
        <v>104.70831142215076</v>
      </c>
      <c r="DG46" s="24">
        <v>104.70831142215076</v>
      </c>
      <c r="DH46" s="24">
        <v>104.70831142215076</v>
      </c>
      <c r="DI46" s="24">
        <v>104.70831142215076</v>
      </c>
      <c r="DJ46" s="24">
        <v>103.69813567852087</v>
      </c>
      <c r="DK46" s="24">
        <v>103.34060334140077</v>
      </c>
      <c r="DL46" s="24">
        <v>103.33148121849452</v>
      </c>
      <c r="DM46" s="24">
        <v>102.73432448279007</v>
      </c>
      <c r="DN46" s="24">
        <v>102.73432186208001</v>
      </c>
      <c r="DO46" s="24">
        <v>102.73432186208001</v>
      </c>
      <c r="DP46" s="24">
        <v>103.10665015628574</v>
      </c>
      <c r="DQ46" s="24">
        <v>103.80468201221915</v>
      </c>
      <c r="DR46" s="24">
        <v>105.75486674449003</v>
      </c>
    </row>
    <row r="47" spans="1:122" s="43" customFormat="1" x14ac:dyDescent="0.35">
      <c r="B47" s="43">
        <v>239</v>
      </c>
      <c r="C47" s="31" t="s">
        <v>118</v>
      </c>
      <c r="D47" s="40" t="s">
        <v>105</v>
      </c>
      <c r="E47" s="102">
        <v>1.3162386715291501</v>
      </c>
      <c r="F47" s="47">
        <v>100.1786379808965</v>
      </c>
      <c r="G47" s="47">
        <v>100.1786379808965</v>
      </c>
      <c r="H47" s="47">
        <v>100.1786379808965</v>
      </c>
      <c r="I47" s="47">
        <v>100.1786379808965</v>
      </c>
      <c r="J47" s="47">
        <v>100.1786379808965</v>
      </c>
      <c r="K47" s="47">
        <v>100.1786379808965</v>
      </c>
      <c r="L47" s="47">
        <v>100.1786379808965</v>
      </c>
      <c r="M47" s="47">
        <v>100.1786379808965</v>
      </c>
      <c r="N47" s="47">
        <v>100.1786379808965</v>
      </c>
      <c r="O47" s="47">
        <v>100.18105999174165</v>
      </c>
      <c r="P47" s="47">
        <v>99.105599090095154</v>
      </c>
      <c r="Q47" s="47">
        <v>99.105599090095154</v>
      </c>
      <c r="R47" s="47">
        <v>99.105599090095154</v>
      </c>
      <c r="S47" s="47">
        <v>99.105599090095154</v>
      </c>
      <c r="T47" s="47">
        <v>99.105599090095154</v>
      </c>
      <c r="U47" s="47">
        <v>97.943627412191859</v>
      </c>
      <c r="V47" s="47">
        <v>97.943627412191859</v>
      </c>
      <c r="W47" s="47">
        <v>97.943627412191859</v>
      </c>
      <c r="X47" s="47">
        <v>97.943627412191859</v>
      </c>
      <c r="Y47" s="47">
        <v>97.943627412191859</v>
      </c>
      <c r="Z47" s="47">
        <v>97.943627412191859</v>
      </c>
      <c r="AA47" s="47">
        <v>97.943627412191859</v>
      </c>
      <c r="AB47" s="47">
        <v>99.012080932510045</v>
      </c>
      <c r="AC47" s="47">
        <v>99.012080932510045</v>
      </c>
      <c r="AD47" s="47">
        <v>99.012080932510045</v>
      </c>
      <c r="AE47" s="47">
        <v>99.012080932510045</v>
      </c>
      <c r="AF47" s="47">
        <v>99.012080932510045</v>
      </c>
      <c r="AG47" s="47">
        <v>99.012080932510045</v>
      </c>
      <c r="AH47" s="47">
        <v>99.012080932510045</v>
      </c>
      <c r="AI47" s="47">
        <v>99.710731200297545</v>
      </c>
      <c r="AJ47" s="47">
        <v>106.26268928288025</v>
      </c>
      <c r="AK47" s="47">
        <v>107.3560766101937</v>
      </c>
      <c r="AL47" s="47">
        <v>107.3560766101937</v>
      </c>
      <c r="AM47" s="47">
        <v>107.3560766101937</v>
      </c>
      <c r="AN47" s="47">
        <v>107.3560766101937</v>
      </c>
      <c r="AO47" s="47">
        <v>107.3560766101937</v>
      </c>
      <c r="AP47" s="47">
        <v>107.3560766101937</v>
      </c>
      <c r="AQ47" s="47">
        <v>107.3560766101937</v>
      </c>
      <c r="AR47" s="47">
        <v>110.68064686890912</v>
      </c>
      <c r="AS47" s="47">
        <v>110.68064686890912</v>
      </c>
      <c r="AT47" s="47">
        <v>110.68064686890912</v>
      </c>
      <c r="AU47" s="47">
        <v>110.68064686890912</v>
      </c>
      <c r="AV47" s="47">
        <v>109.98301204086347</v>
      </c>
      <c r="AW47" s="47">
        <v>109.98301204086347</v>
      </c>
      <c r="AX47" s="47">
        <v>109.98301204086347</v>
      </c>
      <c r="AY47" s="47">
        <v>109.98301204086347</v>
      </c>
      <c r="AZ47" s="47">
        <v>109.98301204086347</v>
      </c>
      <c r="BA47" s="47">
        <v>109.98301204086347</v>
      </c>
      <c r="BB47" s="47">
        <v>109.98301204086347</v>
      </c>
      <c r="BC47" s="47">
        <v>110.68064686890914</v>
      </c>
      <c r="BD47" s="47">
        <v>110.68064686890914</v>
      </c>
      <c r="BE47" s="47">
        <v>110.68064686890914</v>
      </c>
      <c r="BF47" s="47">
        <v>110.68064686890914</v>
      </c>
      <c r="BG47" s="47">
        <v>110.68064686890914</v>
      </c>
      <c r="BH47" s="47">
        <v>114.64912865212477</v>
      </c>
      <c r="BI47" s="47">
        <v>114.64912865212477</v>
      </c>
      <c r="BJ47" s="47">
        <v>114.64912865212477</v>
      </c>
      <c r="BK47" s="47">
        <v>114.64912865212477</v>
      </c>
      <c r="BL47" s="47">
        <v>114.64912865212477</v>
      </c>
      <c r="BM47" s="47">
        <v>114.12182462153027</v>
      </c>
      <c r="BN47" s="47">
        <v>114.45505062117766</v>
      </c>
      <c r="BO47" s="47">
        <v>114.45505062117766</v>
      </c>
      <c r="BP47" s="47">
        <v>114.45505062117766</v>
      </c>
      <c r="BQ47" s="47">
        <v>114.45505062117766</v>
      </c>
      <c r="BR47" s="47">
        <v>114.45505062117766</v>
      </c>
      <c r="BS47" s="47">
        <v>114.45505062117766</v>
      </c>
      <c r="BT47" s="47">
        <v>114.45505062117766</v>
      </c>
      <c r="BU47" s="47">
        <v>117.0887163722453</v>
      </c>
      <c r="BV47" s="47">
        <v>117.0887163722453</v>
      </c>
      <c r="BW47" s="47">
        <v>117.0887163722453</v>
      </c>
      <c r="BX47" s="47">
        <v>117.0887163722453</v>
      </c>
      <c r="BY47" s="47">
        <v>117.31668794559998</v>
      </c>
      <c r="BZ47" s="47">
        <v>117.31668794559998</v>
      </c>
      <c r="CA47" s="47">
        <v>117.31668794559998</v>
      </c>
      <c r="CB47" s="47">
        <v>117.31668794559998</v>
      </c>
      <c r="CC47" s="47">
        <v>117.31668794559998</v>
      </c>
      <c r="CD47" s="47">
        <v>117.31668794559998</v>
      </c>
      <c r="CE47" s="47">
        <v>117.31668794559998</v>
      </c>
      <c r="CF47" s="47">
        <v>117.31668794559998</v>
      </c>
      <c r="CG47" s="47">
        <v>117.31668794559998</v>
      </c>
      <c r="CH47" s="47">
        <v>116.96905506114874</v>
      </c>
      <c r="CI47" s="47">
        <v>116.96905506114874</v>
      </c>
      <c r="CJ47" s="47">
        <v>116.96899727974862</v>
      </c>
      <c r="CK47" s="47">
        <v>116.96899727974862</v>
      </c>
      <c r="CL47" s="47">
        <v>120.12519858483147</v>
      </c>
      <c r="CM47" s="47">
        <v>120.41919523081279</v>
      </c>
      <c r="CN47" s="47">
        <v>120.41797731696522</v>
      </c>
      <c r="CO47" s="47">
        <v>120.41797731696522</v>
      </c>
      <c r="CP47" s="47">
        <v>120.41797731696522</v>
      </c>
      <c r="CQ47" s="47">
        <v>120.41797731696522</v>
      </c>
      <c r="CR47" s="47">
        <v>120.41797731696522</v>
      </c>
      <c r="CS47" s="47">
        <v>120.41797731696522</v>
      </c>
      <c r="CT47" s="47">
        <v>120.41797731696522</v>
      </c>
      <c r="CU47" s="47">
        <v>119.69402876770047</v>
      </c>
      <c r="CV47" s="47">
        <v>119.69402876770047</v>
      </c>
      <c r="CW47" s="47">
        <v>120.07117099279878</v>
      </c>
      <c r="CX47" s="47">
        <v>120.07117099279878</v>
      </c>
      <c r="CY47" s="47">
        <v>120.07117099279878</v>
      </c>
      <c r="CZ47" s="47">
        <v>120.07117099279878</v>
      </c>
      <c r="DA47" s="47">
        <v>120.07117099279878</v>
      </c>
      <c r="DB47" s="47">
        <v>120.07117099279878</v>
      </c>
      <c r="DC47" s="47">
        <v>120.21544224558242</v>
      </c>
      <c r="DD47" s="47">
        <v>120.21544224558242</v>
      </c>
      <c r="DE47" s="47">
        <v>120.21544224558242</v>
      </c>
      <c r="DF47" s="47">
        <v>121.10190229119057</v>
      </c>
      <c r="DG47" s="47">
        <v>121.10190229119057</v>
      </c>
      <c r="DH47" s="47">
        <v>121.10190229119057</v>
      </c>
      <c r="DI47" s="47">
        <v>121.10190229119057</v>
      </c>
      <c r="DJ47" s="47">
        <v>121.10190229119057</v>
      </c>
      <c r="DK47" s="47">
        <v>121.72918645139652</v>
      </c>
      <c r="DL47" s="47">
        <v>121.72918645139652</v>
      </c>
      <c r="DM47" s="47">
        <v>121.21500704178945</v>
      </c>
      <c r="DN47" s="47">
        <v>121.21490630633647</v>
      </c>
      <c r="DO47" s="47">
        <v>121.21490630633647</v>
      </c>
      <c r="DP47" s="47">
        <v>121.21490630633647</v>
      </c>
      <c r="DQ47" s="47">
        <v>121.31593275542362</v>
      </c>
      <c r="DR47" s="47">
        <v>121.31593275542362</v>
      </c>
    </row>
    <row r="48" spans="1:122" s="43" customFormat="1" x14ac:dyDescent="0.35">
      <c r="C48" s="31" t="s">
        <v>119</v>
      </c>
      <c r="D48" s="40" t="s">
        <v>108</v>
      </c>
      <c r="E48" s="102">
        <v>48.893660719388599</v>
      </c>
      <c r="F48" s="47">
        <v>100.19184991489905</v>
      </c>
      <c r="G48" s="47">
        <v>100.19184991489905</v>
      </c>
      <c r="H48" s="47">
        <v>100.19184991489905</v>
      </c>
      <c r="I48" s="47">
        <v>100.19184991489905</v>
      </c>
      <c r="J48" s="47">
        <v>100.19184991489905</v>
      </c>
      <c r="K48" s="47">
        <v>100.19184991489905</v>
      </c>
      <c r="L48" s="47">
        <v>100.19184991489905</v>
      </c>
      <c r="M48" s="47">
        <v>100.19184991489905</v>
      </c>
      <c r="N48" s="47">
        <v>100.19184991489905</v>
      </c>
      <c r="O48" s="47">
        <v>100.19184991489905</v>
      </c>
      <c r="P48" s="47">
        <v>99.274080277277633</v>
      </c>
      <c r="Q48" s="47">
        <v>98.807420573731875</v>
      </c>
      <c r="R48" s="47">
        <v>96.794068159008489</v>
      </c>
      <c r="S48" s="47">
        <v>96.794068159008489</v>
      </c>
      <c r="T48" s="47">
        <v>96.794068159008489</v>
      </c>
      <c r="U48" s="47">
        <v>92.579255452106437</v>
      </c>
      <c r="V48" s="47">
        <v>92.579255452106437</v>
      </c>
      <c r="W48" s="47">
        <v>92.579255452106437</v>
      </c>
      <c r="X48" s="47">
        <v>93.647320070642579</v>
      </c>
      <c r="Y48" s="47">
        <v>94.689498167673662</v>
      </c>
      <c r="Z48" s="47">
        <v>95.540277412842656</v>
      </c>
      <c r="AA48" s="47">
        <v>96.755204762348569</v>
      </c>
      <c r="AB48" s="47">
        <v>96.755204762348569</v>
      </c>
      <c r="AC48" s="47">
        <v>95.776275444116138</v>
      </c>
      <c r="AD48" s="47">
        <v>93.993001090235708</v>
      </c>
      <c r="AE48" s="47">
        <v>89.804829417094069</v>
      </c>
      <c r="AF48" s="47">
        <v>88.797853809283708</v>
      </c>
      <c r="AG48" s="47">
        <v>88.797853809283708</v>
      </c>
      <c r="AH48" s="47">
        <v>88.797853809283708</v>
      </c>
      <c r="AI48" s="47">
        <v>89.691290327106756</v>
      </c>
      <c r="AJ48" s="47">
        <v>89.691290327106756</v>
      </c>
      <c r="AK48" s="47">
        <v>90.128980260912527</v>
      </c>
      <c r="AL48" s="47">
        <v>90.128980260912527</v>
      </c>
      <c r="AM48" s="47">
        <v>90.128980260912527</v>
      </c>
      <c r="AN48" s="47">
        <v>89.846435934371144</v>
      </c>
      <c r="AO48" s="47">
        <v>89.846435934371144</v>
      </c>
      <c r="AP48" s="47">
        <v>89.846435934371144</v>
      </c>
      <c r="AQ48" s="47">
        <v>88.158864790796159</v>
      </c>
      <c r="AR48" s="47">
        <v>87.784461349927781</v>
      </c>
      <c r="AS48" s="47">
        <v>87.784461349927781</v>
      </c>
      <c r="AT48" s="47">
        <v>87.784461349927781</v>
      </c>
      <c r="AU48" s="47">
        <v>87.784461349927781</v>
      </c>
      <c r="AV48" s="47">
        <v>87.784461349927781</v>
      </c>
      <c r="AW48" s="47">
        <v>87.784461349927781</v>
      </c>
      <c r="AX48" s="47">
        <v>87.784461349927781</v>
      </c>
      <c r="AY48" s="47">
        <v>87.784461349927781</v>
      </c>
      <c r="AZ48" s="47">
        <v>87.784461349927781</v>
      </c>
      <c r="BA48" s="47">
        <v>87.784461349927781</v>
      </c>
      <c r="BB48" s="47">
        <v>87.784461349927781</v>
      </c>
      <c r="BC48" s="47">
        <v>87.973455568606553</v>
      </c>
      <c r="BD48" s="47">
        <v>88.467420627039104</v>
      </c>
      <c r="BE48" s="47">
        <v>88.467420627039104</v>
      </c>
      <c r="BF48" s="47">
        <v>88.467420627039104</v>
      </c>
      <c r="BG48" s="47">
        <v>87.870169183940391</v>
      </c>
      <c r="BH48" s="47">
        <v>87.870169183940391</v>
      </c>
      <c r="BI48" s="47">
        <v>87.870169183940391</v>
      </c>
      <c r="BJ48" s="47">
        <v>87.870169183940391</v>
      </c>
      <c r="BK48" s="47">
        <v>88.657808877463935</v>
      </c>
      <c r="BL48" s="47">
        <v>88.32060645368027</v>
      </c>
      <c r="BM48" s="47">
        <v>88.32060645368027</v>
      </c>
      <c r="BN48" s="47">
        <v>88.32060645368027</v>
      </c>
      <c r="BO48" s="47">
        <v>88.32060645368027</v>
      </c>
      <c r="BP48" s="47">
        <v>88.989538040944723</v>
      </c>
      <c r="BQ48" s="47">
        <v>88.989538040944723</v>
      </c>
      <c r="BR48" s="47">
        <v>89.35355357086307</v>
      </c>
      <c r="BS48" s="47">
        <v>89.35355357086307</v>
      </c>
      <c r="BT48" s="47">
        <v>89.35355357086307</v>
      </c>
      <c r="BU48" s="47">
        <v>89.682238261113966</v>
      </c>
      <c r="BV48" s="47">
        <v>94.012602689144259</v>
      </c>
      <c r="BW48" s="47">
        <v>98.137890078461368</v>
      </c>
      <c r="BX48" s="47">
        <v>100.39192125971788</v>
      </c>
      <c r="BY48" s="47">
        <v>99.402436027326061</v>
      </c>
      <c r="BZ48" s="47">
        <v>98.595445229459514</v>
      </c>
      <c r="CA48" s="47">
        <v>98.595445229459514</v>
      </c>
      <c r="CB48" s="47">
        <v>98.595445229459514</v>
      </c>
      <c r="CC48" s="47">
        <v>98.595445229459514</v>
      </c>
      <c r="CD48" s="47">
        <v>98.595445229459514</v>
      </c>
      <c r="CE48" s="47">
        <v>98.595445229459514</v>
      </c>
      <c r="CF48" s="47">
        <v>98.595445229459514</v>
      </c>
      <c r="CG48" s="47">
        <v>98.595445229459514</v>
      </c>
      <c r="CH48" s="47">
        <v>98.595445229459514</v>
      </c>
      <c r="CI48" s="47">
        <v>98.595445229459514</v>
      </c>
      <c r="CJ48" s="47">
        <v>101.91386072651028</v>
      </c>
      <c r="CK48" s="47">
        <v>101.91386072651028</v>
      </c>
      <c r="CL48" s="47">
        <v>101.91386072651028</v>
      </c>
      <c r="CM48" s="47">
        <v>101.91386072651028</v>
      </c>
      <c r="CN48" s="47">
        <v>101.91386072651028</v>
      </c>
      <c r="CO48" s="47">
        <v>101.91386072651028</v>
      </c>
      <c r="CP48" s="47">
        <v>101.91386072651028</v>
      </c>
      <c r="CQ48" s="47">
        <v>101.91386072651028</v>
      </c>
      <c r="CR48" s="47">
        <v>101.91386072651028</v>
      </c>
      <c r="CS48" s="47">
        <v>101.91386072651028</v>
      </c>
      <c r="CT48" s="47">
        <v>102.61726924093205</v>
      </c>
      <c r="CU48" s="47">
        <v>105.0396269992862</v>
      </c>
      <c r="CV48" s="47">
        <v>105.0396269992862</v>
      </c>
      <c r="CW48" s="47">
        <v>105.0396269992862</v>
      </c>
      <c r="CX48" s="47">
        <v>105.0396269992862</v>
      </c>
      <c r="CY48" s="47">
        <v>105.0396269992862</v>
      </c>
      <c r="CZ48" s="47">
        <v>104.2744394520799</v>
      </c>
      <c r="DA48" s="47">
        <v>104.2744394520799</v>
      </c>
      <c r="DB48" s="47">
        <v>104.2744394520799</v>
      </c>
      <c r="DC48" s="47">
        <v>104.2744394520799</v>
      </c>
      <c r="DD48" s="47">
        <v>104.2744394520799</v>
      </c>
      <c r="DE48" s="47">
        <v>104.2744394520799</v>
      </c>
      <c r="DF48" s="47">
        <v>104.2744394520799</v>
      </c>
      <c r="DG48" s="47">
        <v>104.2744394520799</v>
      </c>
      <c r="DH48" s="47">
        <v>104.2744394520799</v>
      </c>
      <c r="DI48" s="47">
        <v>104.2744394520799</v>
      </c>
      <c r="DJ48" s="47">
        <v>103.22913597041519</v>
      </c>
      <c r="DK48" s="47">
        <v>102.84154453064455</v>
      </c>
      <c r="DL48" s="47">
        <v>102.83210519605926</v>
      </c>
      <c r="DM48" s="47">
        <v>102.22707045194123</v>
      </c>
      <c r="DN48" s="47">
        <v>102.22707045194123</v>
      </c>
      <c r="DO48" s="47">
        <v>102.22707045194123</v>
      </c>
      <c r="DP48" s="47">
        <v>102.61234604849933</v>
      </c>
      <c r="DQ48" s="47">
        <v>103.33193150984636</v>
      </c>
      <c r="DR48" s="47">
        <v>105.34993174731693</v>
      </c>
    </row>
    <row r="49" spans="1:122" s="43" customFormat="1" x14ac:dyDescent="0.35">
      <c r="C49" s="31" t="s">
        <v>120</v>
      </c>
      <c r="D49" s="40" t="s">
        <v>109</v>
      </c>
      <c r="E49" s="102">
        <v>0.38398400372775099</v>
      </c>
      <c r="F49" s="47">
        <v>100.02673993371987</v>
      </c>
      <c r="G49" s="47">
        <v>100.02673993371987</v>
      </c>
      <c r="H49" s="47">
        <v>100.02673993371987</v>
      </c>
      <c r="I49" s="47">
        <v>100.02673993371987</v>
      </c>
      <c r="J49" s="47">
        <v>100.02673993371987</v>
      </c>
      <c r="K49" s="47">
        <v>100.02673993371987</v>
      </c>
      <c r="L49" s="47">
        <v>100.02673993371987</v>
      </c>
      <c r="M49" s="47">
        <v>100.02673993371987</v>
      </c>
      <c r="N49" s="47">
        <v>100.02673993371987</v>
      </c>
      <c r="O49" s="47">
        <v>100.02673993371987</v>
      </c>
      <c r="P49" s="47">
        <v>99.89897744106419</v>
      </c>
      <c r="Q49" s="47">
        <v>99.833623221737128</v>
      </c>
      <c r="R49" s="47">
        <v>99.626193043422333</v>
      </c>
      <c r="S49" s="47">
        <v>99.626193043422333</v>
      </c>
      <c r="T49" s="47">
        <v>99.5232548811328</v>
      </c>
      <c r="U49" s="47">
        <v>99.004126317008428</v>
      </c>
      <c r="V49" s="47">
        <v>99.004126317008428</v>
      </c>
      <c r="W49" s="47">
        <v>98.812878265919508</v>
      </c>
      <c r="X49" s="47">
        <v>100.16575500464585</v>
      </c>
      <c r="Y49" s="47">
        <v>101.97960037436653</v>
      </c>
      <c r="Z49" s="47">
        <v>102.93059343125364</v>
      </c>
      <c r="AA49" s="47">
        <v>103.92698479462473</v>
      </c>
      <c r="AB49" s="47">
        <v>103.06205641263361</v>
      </c>
      <c r="AC49" s="47">
        <v>102.8925915099521</v>
      </c>
      <c r="AD49" s="47">
        <v>102.6974400637564</v>
      </c>
      <c r="AE49" s="47">
        <v>102.30134533188925</v>
      </c>
      <c r="AF49" s="47">
        <v>102.14125158209025</v>
      </c>
      <c r="AG49" s="47">
        <v>99.78047787774122</v>
      </c>
      <c r="AH49" s="47">
        <v>99.78047787774122</v>
      </c>
      <c r="AI49" s="47">
        <v>99.919313389114379</v>
      </c>
      <c r="AJ49" s="47">
        <v>99.919313389114379</v>
      </c>
      <c r="AK49" s="47">
        <v>99.986894065860781</v>
      </c>
      <c r="AL49" s="47">
        <v>99.986894065860781</v>
      </c>
      <c r="AM49" s="47">
        <v>99.986894065860781</v>
      </c>
      <c r="AN49" s="47">
        <v>99.943300775791542</v>
      </c>
      <c r="AO49" s="47">
        <v>99.943300775791542</v>
      </c>
      <c r="AP49" s="47">
        <v>99.943300775791542</v>
      </c>
      <c r="AQ49" s="47">
        <v>99.736974583074357</v>
      </c>
      <c r="AR49" s="47">
        <v>99.736974583074357</v>
      </c>
      <c r="AS49" s="47">
        <v>99.736974583074357</v>
      </c>
      <c r="AT49" s="47">
        <v>99.736974583074357</v>
      </c>
      <c r="AU49" s="47">
        <v>99.597763395696461</v>
      </c>
      <c r="AV49" s="47">
        <v>99.441589262584614</v>
      </c>
      <c r="AW49" s="47">
        <v>98.9024003991195</v>
      </c>
      <c r="AX49" s="47">
        <v>98.9024003991195</v>
      </c>
      <c r="AY49" s="47">
        <v>98.9024003991195</v>
      </c>
      <c r="AZ49" s="47">
        <v>98.9024003991195</v>
      </c>
      <c r="BA49" s="47">
        <v>98.9024003991195</v>
      </c>
      <c r="BB49" s="47">
        <v>98.9024003991195</v>
      </c>
      <c r="BC49" s="47">
        <v>98.9024003991195</v>
      </c>
      <c r="BD49" s="47">
        <v>98.940237317252667</v>
      </c>
      <c r="BE49" s="47">
        <v>98.940237317252667</v>
      </c>
      <c r="BF49" s="47">
        <v>98.940237317252667</v>
      </c>
      <c r="BG49" s="47">
        <v>98.865796527306131</v>
      </c>
      <c r="BH49" s="47">
        <v>98.865796527306131</v>
      </c>
      <c r="BI49" s="47">
        <v>98.865796527306131</v>
      </c>
      <c r="BJ49" s="47">
        <v>98.865796527306131</v>
      </c>
      <c r="BK49" s="47">
        <v>98.94072562805367</v>
      </c>
      <c r="BL49" s="47">
        <v>98.898842264656381</v>
      </c>
      <c r="BM49" s="47">
        <v>98.898842264656381</v>
      </c>
      <c r="BN49" s="47">
        <v>98.898842264656381</v>
      </c>
      <c r="BO49" s="47">
        <v>98.898842264656381</v>
      </c>
      <c r="BP49" s="47">
        <v>98.9817912232471</v>
      </c>
      <c r="BQ49" s="47">
        <v>98.9817912232471</v>
      </c>
      <c r="BR49" s="47">
        <v>98.9817912232471</v>
      </c>
      <c r="BS49" s="47">
        <v>98.9817912232471</v>
      </c>
      <c r="BT49" s="47">
        <v>98.9817912232471</v>
      </c>
      <c r="BU49" s="47">
        <v>98.9817912232471</v>
      </c>
      <c r="BV49" s="47">
        <v>98.9817912232471</v>
      </c>
      <c r="BW49" s="47">
        <v>98.9817912232471</v>
      </c>
      <c r="BX49" s="47">
        <v>100.08292870217453</v>
      </c>
      <c r="BY49" s="47">
        <v>100.08292870217453</v>
      </c>
      <c r="BZ49" s="47">
        <v>100.08292870217453</v>
      </c>
      <c r="CA49" s="47">
        <v>100.08292870217453</v>
      </c>
      <c r="CB49" s="47">
        <v>100.08292870217453</v>
      </c>
      <c r="CC49" s="47">
        <v>100.08292870217453</v>
      </c>
      <c r="CD49" s="47">
        <v>100.08292870217453</v>
      </c>
      <c r="CE49" s="47">
        <v>101.24052205813859</v>
      </c>
      <c r="CF49" s="47">
        <v>101.24052205813859</v>
      </c>
      <c r="CG49" s="47">
        <v>101.24052205813859</v>
      </c>
      <c r="CH49" s="47">
        <v>101.24052205813859</v>
      </c>
      <c r="CI49" s="47">
        <v>101.24052205813859</v>
      </c>
      <c r="CJ49" s="47">
        <v>101.24052205813859</v>
      </c>
      <c r="CK49" s="47">
        <v>101.24052205813859</v>
      </c>
      <c r="CL49" s="47">
        <v>101.24052205813859</v>
      </c>
      <c r="CM49" s="47">
        <v>101.24052205813859</v>
      </c>
      <c r="CN49" s="47">
        <v>101.24052205813859</v>
      </c>
      <c r="CO49" s="47">
        <v>101.24052205813859</v>
      </c>
      <c r="CP49" s="47">
        <v>101.24052205813859</v>
      </c>
      <c r="CQ49" s="47">
        <v>101.24052205813859</v>
      </c>
      <c r="CR49" s="47">
        <v>101.24052205813859</v>
      </c>
      <c r="CS49" s="47">
        <v>101.24052205813859</v>
      </c>
      <c r="CT49" s="47">
        <v>101.24052205813859</v>
      </c>
      <c r="CU49" s="47">
        <v>101.24052205813859</v>
      </c>
      <c r="CV49" s="47">
        <v>101.24052205813859</v>
      </c>
      <c r="CW49" s="47">
        <v>101.24052205813859</v>
      </c>
      <c r="CX49" s="47">
        <v>101.24052205813859</v>
      </c>
      <c r="CY49" s="47">
        <v>101.56298125770775</v>
      </c>
      <c r="CZ49" s="47">
        <v>101.47783873891413</v>
      </c>
      <c r="DA49" s="47">
        <v>101.47783873891413</v>
      </c>
      <c r="DB49" s="47">
        <v>101.47783873891413</v>
      </c>
      <c r="DC49" s="47">
        <v>101.47783873891413</v>
      </c>
      <c r="DD49" s="47">
        <v>101.71571171084493</v>
      </c>
      <c r="DE49" s="47">
        <v>101.71571171084493</v>
      </c>
      <c r="DF49" s="47">
        <v>103.75960167585097</v>
      </c>
      <c r="DG49" s="47">
        <v>103.75960167585097</v>
      </c>
      <c r="DH49" s="47">
        <v>103.75960167585097</v>
      </c>
      <c r="DI49" s="47">
        <v>103.75960167585097</v>
      </c>
      <c r="DJ49" s="47">
        <v>103.75960167585097</v>
      </c>
      <c r="DK49" s="47">
        <v>103.85377046872664</v>
      </c>
      <c r="DL49" s="47">
        <v>103.85377046872664</v>
      </c>
      <c r="DM49" s="47">
        <v>103.97530696599151</v>
      </c>
      <c r="DN49" s="47">
        <v>103.97530696599151</v>
      </c>
      <c r="DO49" s="47">
        <v>103.97530696599151</v>
      </c>
      <c r="DP49" s="47">
        <v>103.97530696599151</v>
      </c>
      <c r="DQ49" s="47">
        <v>103.97530696599151</v>
      </c>
      <c r="DR49" s="47">
        <v>103.97530696599151</v>
      </c>
    </row>
    <row r="50" spans="1:122" s="6" customFormat="1" x14ac:dyDescent="0.35">
      <c r="A50" s="57">
        <v>24</v>
      </c>
      <c r="B50" s="57"/>
      <c r="C50" s="57"/>
      <c r="D50" s="58" t="s">
        <v>25</v>
      </c>
      <c r="E50" s="106">
        <v>46.9277066066388</v>
      </c>
      <c r="F50" s="59">
        <v>95.497920201226947</v>
      </c>
      <c r="G50" s="59">
        <v>95.458295207531975</v>
      </c>
      <c r="H50" s="59">
        <v>95.241903757572487</v>
      </c>
      <c r="I50" s="59">
        <v>95.416205447321389</v>
      </c>
      <c r="J50" s="59">
        <v>97.87224074376725</v>
      </c>
      <c r="K50" s="59">
        <v>99.94713835068363</v>
      </c>
      <c r="L50" s="59">
        <v>101.67723279470147</v>
      </c>
      <c r="M50" s="59">
        <v>104.29607581359075</v>
      </c>
      <c r="N50" s="59">
        <v>104.11731957072404</v>
      </c>
      <c r="O50" s="59">
        <v>104.00415290566167</v>
      </c>
      <c r="P50" s="59">
        <v>103.2827789301959</v>
      </c>
      <c r="Q50" s="59">
        <v>103.18873627702247</v>
      </c>
      <c r="R50" s="59">
        <v>104.28876986077358</v>
      </c>
      <c r="S50" s="59">
        <v>109.2543257514524</v>
      </c>
      <c r="T50" s="59">
        <v>114.51639885552889</v>
      </c>
      <c r="U50" s="59">
        <v>114.98673949454545</v>
      </c>
      <c r="V50" s="59">
        <v>116.0134389354567</v>
      </c>
      <c r="W50" s="59">
        <v>117.15265988120183</v>
      </c>
      <c r="X50" s="59">
        <v>117.55734993125421</v>
      </c>
      <c r="Y50" s="59">
        <v>118.90520841897562</v>
      </c>
      <c r="Z50" s="59">
        <v>124.36850474625945</v>
      </c>
      <c r="AA50" s="59">
        <v>125.09004713731827</v>
      </c>
      <c r="AB50" s="59">
        <v>123.98997185692252</v>
      </c>
      <c r="AC50" s="59">
        <v>125.1876028238776</v>
      </c>
      <c r="AD50" s="59">
        <v>126.33046092387566</v>
      </c>
      <c r="AE50" s="59">
        <v>122.36497830991262</v>
      </c>
      <c r="AF50" s="59">
        <v>122.52874664342808</v>
      </c>
      <c r="AG50" s="59">
        <v>122.55431548557767</v>
      </c>
      <c r="AH50" s="59">
        <v>121.81593483389719</v>
      </c>
      <c r="AI50" s="59">
        <v>121.04694754918583</v>
      </c>
      <c r="AJ50" s="59">
        <v>120.85761836049529</v>
      </c>
      <c r="AK50" s="59">
        <v>121.03111825002064</v>
      </c>
      <c r="AL50" s="59">
        <v>121.10728459819482</v>
      </c>
      <c r="AM50" s="59">
        <v>121.20925201603974</v>
      </c>
      <c r="AN50" s="59">
        <v>121.31441795828682</v>
      </c>
      <c r="AO50" s="59">
        <v>119.82892765744452</v>
      </c>
      <c r="AP50" s="59">
        <v>119.6306625585301</v>
      </c>
      <c r="AQ50" s="59">
        <v>119.59763027809483</v>
      </c>
      <c r="AR50" s="59">
        <v>119.03814197473534</v>
      </c>
      <c r="AS50" s="59">
        <v>118.02731652350165</v>
      </c>
      <c r="AT50" s="59">
        <v>118.71388388372264</v>
      </c>
      <c r="AU50" s="59">
        <v>118.46124443897951</v>
      </c>
      <c r="AV50" s="59">
        <v>121.91477180748743</v>
      </c>
      <c r="AW50" s="59">
        <v>121.89487264790252</v>
      </c>
      <c r="AX50" s="59">
        <v>123.54942868853664</v>
      </c>
      <c r="AY50" s="59">
        <v>123.79483294672585</v>
      </c>
      <c r="AZ50" s="59">
        <v>123.98604887165885</v>
      </c>
      <c r="BA50" s="59">
        <v>122.86667472195499</v>
      </c>
      <c r="BB50" s="59">
        <v>124.16455465794395</v>
      </c>
      <c r="BC50" s="59">
        <v>123.98635088393252</v>
      </c>
      <c r="BD50" s="59">
        <v>124.40723220908768</v>
      </c>
      <c r="BE50" s="59">
        <v>124.14881684157967</v>
      </c>
      <c r="BF50" s="59">
        <v>124.21652257138446</v>
      </c>
      <c r="BG50" s="59">
        <v>124.02184691691109</v>
      </c>
      <c r="BH50" s="59">
        <v>124.99676154037807</v>
      </c>
      <c r="BI50" s="59">
        <v>125.28182632654499</v>
      </c>
      <c r="BJ50" s="59">
        <v>125.99354342900483</v>
      </c>
      <c r="BK50" s="59">
        <v>126.99066542222266</v>
      </c>
      <c r="BL50" s="59">
        <v>126.72242653521032</v>
      </c>
      <c r="BM50" s="59">
        <v>126.39249062528215</v>
      </c>
      <c r="BN50" s="59">
        <v>126.62952154736234</v>
      </c>
      <c r="BO50" s="59">
        <v>127.60787654309165</v>
      </c>
      <c r="BP50" s="59">
        <v>128.51338710261052</v>
      </c>
      <c r="BQ50" s="59">
        <v>129.77781497487004</v>
      </c>
      <c r="BR50" s="59">
        <v>130.48313300626825</v>
      </c>
      <c r="BS50" s="59">
        <v>130.6345987557682</v>
      </c>
      <c r="BT50" s="59">
        <v>130.50909422166961</v>
      </c>
      <c r="BU50" s="59">
        <v>130.5242004144834</v>
      </c>
      <c r="BV50" s="59">
        <v>134.47129802148444</v>
      </c>
      <c r="BW50" s="59">
        <v>137.46431260707155</v>
      </c>
      <c r="BX50" s="59">
        <v>137.64280843027817</v>
      </c>
      <c r="BY50" s="59">
        <v>136.77454398657866</v>
      </c>
      <c r="BZ50" s="59">
        <v>136.07506327061594</v>
      </c>
      <c r="CA50" s="59">
        <v>135.5150607762202</v>
      </c>
      <c r="CB50" s="59">
        <v>135.25036239517468</v>
      </c>
      <c r="CC50" s="59">
        <v>134.7114025768123</v>
      </c>
      <c r="CD50" s="59">
        <v>134.24532600537921</v>
      </c>
      <c r="CE50" s="59">
        <v>132.28656607182521</v>
      </c>
      <c r="CF50" s="59">
        <v>131.13974106263984</v>
      </c>
      <c r="CG50" s="59">
        <v>130.615949468227</v>
      </c>
      <c r="CH50" s="59">
        <v>130.9543733776828</v>
      </c>
      <c r="CI50" s="59">
        <v>130.98475344889252</v>
      </c>
      <c r="CJ50" s="59">
        <v>130.41691410825587</v>
      </c>
      <c r="CK50" s="59">
        <v>128.16338768003416</v>
      </c>
      <c r="CL50" s="59">
        <v>127.0548592379788</v>
      </c>
      <c r="CM50" s="59">
        <v>127.48066775183767</v>
      </c>
      <c r="CN50" s="59">
        <v>127.97344608102549</v>
      </c>
      <c r="CO50" s="59">
        <v>127.58422303415351</v>
      </c>
      <c r="CP50" s="59">
        <v>127.74535030062393</v>
      </c>
      <c r="CQ50" s="59">
        <v>127.46076661427044</v>
      </c>
      <c r="CR50" s="59">
        <v>128.99353740550688</v>
      </c>
      <c r="CS50" s="59">
        <v>129.53914120813585</v>
      </c>
      <c r="CT50" s="59">
        <v>130.27135292827674</v>
      </c>
      <c r="CU50" s="59">
        <v>129.03898624975974</v>
      </c>
      <c r="CV50" s="59">
        <v>128.37382966321832</v>
      </c>
      <c r="CW50" s="59">
        <v>127.83573278933072</v>
      </c>
      <c r="CX50" s="59">
        <v>127.46203863135365</v>
      </c>
      <c r="CY50" s="59">
        <v>127.6346847076037</v>
      </c>
      <c r="CZ50" s="59">
        <v>126.69405954862178</v>
      </c>
      <c r="DA50" s="59">
        <v>126.67177443747856</v>
      </c>
      <c r="DB50" s="59">
        <v>126.72804959242454</v>
      </c>
      <c r="DC50" s="59">
        <v>126.04082611525547</v>
      </c>
      <c r="DD50" s="59">
        <v>125.91614641008825</v>
      </c>
      <c r="DE50" s="59">
        <v>125.90687804240392</v>
      </c>
      <c r="DF50" s="59">
        <v>125.76714401266598</v>
      </c>
      <c r="DG50" s="59">
        <v>125.63362771642905</v>
      </c>
      <c r="DH50" s="59">
        <v>125.54899169008362</v>
      </c>
      <c r="DI50" s="59">
        <v>125.38450534515623</v>
      </c>
      <c r="DJ50" s="59">
        <v>124.82497150077687</v>
      </c>
      <c r="DK50" s="59">
        <v>123.61062114914168</v>
      </c>
      <c r="DL50" s="59">
        <v>123.34200819263694</v>
      </c>
      <c r="DM50" s="59">
        <v>123.15165887324</v>
      </c>
      <c r="DN50" s="59">
        <v>122.50996053283295</v>
      </c>
      <c r="DO50" s="59">
        <v>121.762508153037</v>
      </c>
      <c r="DP50" s="59">
        <v>122.47044833415754</v>
      </c>
      <c r="DQ50" s="59">
        <v>121.63625968009777</v>
      </c>
      <c r="DR50" s="59">
        <v>124.27796646962487</v>
      </c>
    </row>
    <row r="51" spans="1:122" s="42" customFormat="1" x14ac:dyDescent="0.35">
      <c r="B51" s="42">
        <v>241</v>
      </c>
      <c r="C51" s="31" t="s">
        <v>121</v>
      </c>
      <c r="D51" s="40" t="s">
        <v>122</v>
      </c>
      <c r="E51" s="102">
        <v>46.9277066066388</v>
      </c>
      <c r="F51" s="41">
        <v>95.497920201226947</v>
      </c>
      <c r="G51" s="41">
        <v>95.458295207531975</v>
      </c>
      <c r="H51" s="41">
        <v>95.241903757572487</v>
      </c>
      <c r="I51" s="41">
        <v>95.416205447321389</v>
      </c>
      <c r="J51" s="41">
        <v>97.87224074376725</v>
      </c>
      <c r="K51" s="41">
        <v>99.94713835068363</v>
      </c>
      <c r="L51" s="41">
        <v>101.67723279470147</v>
      </c>
      <c r="M51" s="41">
        <v>104.29607581359075</v>
      </c>
      <c r="N51" s="41">
        <v>104.11731957072404</v>
      </c>
      <c r="O51" s="41">
        <v>104.00415290566167</v>
      </c>
      <c r="P51" s="41">
        <v>103.2827789301959</v>
      </c>
      <c r="Q51" s="41">
        <v>103.18873627702247</v>
      </c>
      <c r="R51" s="41">
        <v>104.28876986077358</v>
      </c>
      <c r="S51" s="41">
        <v>109.2543257514524</v>
      </c>
      <c r="T51" s="41">
        <v>114.51639885552889</v>
      </c>
      <c r="U51" s="41">
        <v>114.98673949454545</v>
      </c>
      <c r="V51" s="41">
        <v>116.0134389354567</v>
      </c>
      <c r="W51" s="41">
        <v>117.15265988120183</v>
      </c>
      <c r="X51" s="41">
        <v>117.55734993125421</v>
      </c>
      <c r="Y51" s="41">
        <v>118.90520841897562</v>
      </c>
      <c r="Z51" s="41">
        <v>124.36850474625945</v>
      </c>
      <c r="AA51" s="41">
        <v>125.09004713731827</v>
      </c>
      <c r="AB51" s="41">
        <v>123.98997185692252</v>
      </c>
      <c r="AC51" s="41">
        <v>125.1876028238776</v>
      </c>
      <c r="AD51" s="41">
        <v>126.33046092387566</v>
      </c>
      <c r="AE51" s="41">
        <v>122.36497830991262</v>
      </c>
      <c r="AF51" s="41">
        <v>122.52874664342808</v>
      </c>
      <c r="AG51" s="41">
        <v>122.55431548557767</v>
      </c>
      <c r="AH51" s="41">
        <v>121.81593483389719</v>
      </c>
      <c r="AI51" s="41">
        <v>121.04694754918583</v>
      </c>
      <c r="AJ51" s="41">
        <v>120.85761836049529</v>
      </c>
      <c r="AK51" s="41">
        <v>121.03111825002064</v>
      </c>
      <c r="AL51" s="41">
        <v>121.10728459819482</v>
      </c>
      <c r="AM51" s="41">
        <v>121.20925201603974</v>
      </c>
      <c r="AN51" s="41">
        <v>121.31441795828682</v>
      </c>
      <c r="AO51" s="41">
        <v>119.82892765744452</v>
      </c>
      <c r="AP51" s="41">
        <v>119.6306625585301</v>
      </c>
      <c r="AQ51" s="41">
        <v>119.59763027809483</v>
      </c>
      <c r="AR51" s="41">
        <v>119.03814197473534</v>
      </c>
      <c r="AS51" s="41">
        <v>118.02731652350165</v>
      </c>
      <c r="AT51" s="41">
        <v>118.71388388372264</v>
      </c>
      <c r="AU51" s="41">
        <v>118.46124443897951</v>
      </c>
      <c r="AV51" s="41">
        <v>121.91477180748743</v>
      </c>
      <c r="AW51" s="41">
        <v>121.89487264790252</v>
      </c>
      <c r="AX51" s="41">
        <v>123.54942868853664</v>
      </c>
      <c r="AY51" s="41">
        <v>123.79483294672585</v>
      </c>
      <c r="AZ51" s="41">
        <v>123.98604887165885</v>
      </c>
      <c r="BA51" s="41">
        <v>122.86667472195499</v>
      </c>
      <c r="BB51" s="41">
        <v>124.16455465794395</v>
      </c>
      <c r="BC51" s="41">
        <v>123.98635088393252</v>
      </c>
      <c r="BD51" s="41">
        <v>124.40723220908768</v>
      </c>
      <c r="BE51" s="41">
        <v>124.14881684157967</v>
      </c>
      <c r="BF51" s="41">
        <v>124.21652257138446</v>
      </c>
      <c r="BG51" s="41">
        <v>124.02184691691109</v>
      </c>
      <c r="BH51" s="41">
        <v>124.99676154037807</v>
      </c>
      <c r="BI51" s="41">
        <v>125.28182632654499</v>
      </c>
      <c r="BJ51" s="41">
        <v>125.99354342900483</v>
      </c>
      <c r="BK51" s="41">
        <v>126.99066542222266</v>
      </c>
      <c r="BL51" s="41">
        <v>126.72242653521032</v>
      </c>
      <c r="BM51" s="41">
        <v>126.39249062528215</v>
      </c>
      <c r="BN51" s="41">
        <v>126.62952154736234</v>
      </c>
      <c r="BO51" s="41">
        <v>127.60787654309165</v>
      </c>
      <c r="BP51" s="41">
        <v>128.51338710261052</v>
      </c>
      <c r="BQ51" s="41">
        <v>129.77781497487004</v>
      </c>
      <c r="BR51" s="41">
        <v>130.48313300626825</v>
      </c>
      <c r="BS51" s="41">
        <v>130.6345987557682</v>
      </c>
      <c r="BT51" s="41">
        <v>130.50909422166961</v>
      </c>
      <c r="BU51" s="41">
        <v>130.5242004144834</v>
      </c>
      <c r="BV51" s="41">
        <v>134.47129802148444</v>
      </c>
      <c r="BW51" s="41">
        <v>137.46431260707155</v>
      </c>
      <c r="BX51" s="41">
        <v>137.64280843027817</v>
      </c>
      <c r="BY51" s="41">
        <v>136.77454398657866</v>
      </c>
      <c r="BZ51" s="41">
        <v>136.07506327061594</v>
      </c>
      <c r="CA51" s="41">
        <v>135.5150607762202</v>
      </c>
      <c r="CB51" s="41">
        <v>135.25036239517468</v>
      </c>
      <c r="CC51" s="41">
        <v>134.7114025768123</v>
      </c>
      <c r="CD51" s="41">
        <v>134.24532600537921</v>
      </c>
      <c r="CE51" s="41">
        <v>132.28656607182521</v>
      </c>
      <c r="CF51" s="41">
        <v>131.13974106263984</v>
      </c>
      <c r="CG51" s="41">
        <v>130.615949468227</v>
      </c>
      <c r="CH51" s="41">
        <v>130.9543733776828</v>
      </c>
      <c r="CI51" s="41">
        <v>130.98475344889252</v>
      </c>
      <c r="CJ51" s="41">
        <v>130.41691410825587</v>
      </c>
      <c r="CK51" s="41">
        <v>128.16338768003416</v>
      </c>
      <c r="CL51" s="41">
        <v>127.0548592379788</v>
      </c>
      <c r="CM51" s="41">
        <v>127.48066775183767</v>
      </c>
      <c r="CN51" s="41">
        <v>127.97344608102549</v>
      </c>
      <c r="CO51" s="41">
        <v>127.58422303415351</v>
      </c>
      <c r="CP51" s="41">
        <v>127.74535030062393</v>
      </c>
      <c r="CQ51" s="41">
        <v>127.46076661427044</v>
      </c>
      <c r="CR51" s="41">
        <v>128.99353740550688</v>
      </c>
      <c r="CS51" s="41">
        <v>129.53914120813585</v>
      </c>
      <c r="CT51" s="41">
        <v>130.27135292827674</v>
      </c>
      <c r="CU51" s="41">
        <v>129.03898624975974</v>
      </c>
      <c r="CV51" s="41">
        <v>128.37382966321832</v>
      </c>
      <c r="CW51" s="41">
        <v>127.83573278933072</v>
      </c>
      <c r="CX51" s="41">
        <v>127.46203863135365</v>
      </c>
      <c r="CY51" s="41">
        <v>127.6346847076037</v>
      </c>
      <c r="CZ51" s="41">
        <v>126.69405954862178</v>
      </c>
      <c r="DA51" s="41">
        <v>126.67177443747856</v>
      </c>
      <c r="DB51" s="41">
        <v>126.72804959242454</v>
      </c>
      <c r="DC51" s="41">
        <v>126.04082611525547</v>
      </c>
      <c r="DD51" s="41">
        <v>125.91614641008825</v>
      </c>
      <c r="DE51" s="41">
        <v>125.90687804240392</v>
      </c>
      <c r="DF51" s="41">
        <v>125.76714401266598</v>
      </c>
      <c r="DG51" s="41">
        <v>125.63362771642905</v>
      </c>
      <c r="DH51" s="41">
        <v>125.54899169008362</v>
      </c>
      <c r="DI51" s="41">
        <v>125.38450534515623</v>
      </c>
      <c r="DJ51" s="41">
        <v>124.82497150077687</v>
      </c>
      <c r="DK51" s="41">
        <v>123.61062114914168</v>
      </c>
      <c r="DL51" s="41">
        <v>123.34200819263694</v>
      </c>
      <c r="DM51" s="41">
        <v>123.15165887324</v>
      </c>
      <c r="DN51" s="41">
        <v>122.50996053283295</v>
      </c>
      <c r="DO51" s="41">
        <v>121.762508153037</v>
      </c>
      <c r="DP51" s="41">
        <v>122.47044833415754</v>
      </c>
      <c r="DQ51" s="41">
        <v>121.63625968009777</v>
      </c>
      <c r="DR51" s="41">
        <v>124.27796646962487</v>
      </c>
    </row>
    <row r="52" spans="1:122" x14ac:dyDescent="0.35">
      <c r="A52" s="44">
        <v>25</v>
      </c>
      <c r="B52" s="44"/>
      <c r="C52" s="44"/>
      <c r="D52" s="45" t="s">
        <v>26</v>
      </c>
      <c r="E52" s="106">
        <v>31.266363843842001</v>
      </c>
      <c r="F52" s="59">
        <v>97.764986281118553</v>
      </c>
      <c r="G52" s="59">
        <v>97.729587193640327</v>
      </c>
      <c r="H52" s="59">
        <v>97.830850297116982</v>
      </c>
      <c r="I52" s="59">
        <v>98.899717446908014</v>
      </c>
      <c r="J52" s="59">
        <v>100.48011686407692</v>
      </c>
      <c r="K52" s="59">
        <v>100.94970245239443</v>
      </c>
      <c r="L52" s="59">
        <v>101.09057331353051</v>
      </c>
      <c r="M52" s="59">
        <v>100.78968231302142</v>
      </c>
      <c r="N52" s="59">
        <v>101.02444527960721</v>
      </c>
      <c r="O52" s="59">
        <v>101.31257451422103</v>
      </c>
      <c r="P52" s="59">
        <v>101.26626247733017</v>
      </c>
      <c r="Q52" s="59">
        <v>100.86150156703431</v>
      </c>
      <c r="R52" s="59">
        <v>100.99764816905018</v>
      </c>
      <c r="S52" s="59">
        <v>101.05632318584338</v>
      </c>
      <c r="T52" s="59">
        <v>100.97599370714852</v>
      </c>
      <c r="U52" s="59">
        <v>101.47088622960304</v>
      </c>
      <c r="V52" s="59">
        <v>101.48308030533177</v>
      </c>
      <c r="W52" s="59">
        <v>101.28062201379247</v>
      </c>
      <c r="X52" s="59">
        <v>101.49864476238209</v>
      </c>
      <c r="Y52" s="59">
        <v>101.82453127588558</v>
      </c>
      <c r="Z52" s="59">
        <v>102.11777195963739</v>
      </c>
      <c r="AA52" s="59">
        <v>102.59817091526008</v>
      </c>
      <c r="AB52" s="59">
        <v>102.97940186021076</v>
      </c>
      <c r="AC52" s="59">
        <v>104.42817662690149</v>
      </c>
      <c r="AD52" s="59">
        <v>103.4101930632313</v>
      </c>
      <c r="AE52" s="59">
        <v>103.16258466711172</v>
      </c>
      <c r="AF52" s="59">
        <v>104.07330603197099</v>
      </c>
      <c r="AG52" s="59">
        <v>104.40042351188453</v>
      </c>
      <c r="AH52" s="59">
        <v>104.38571812173377</v>
      </c>
      <c r="AI52" s="59">
        <v>105.33543996001002</v>
      </c>
      <c r="AJ52" s="59">
        <v>105.90252345136486</v>
      </c>
      <c r="AK52" s="59">
        <v>105.50868161780652</v>
      </c>
      <c r="AL52" s="59">
        <v>106.31829705639426</v>
      </c>
      <c r="AM52" s="59">
        <v>106.72813157895025</v>
      </c>
      <c r="AN52" s="59">
        <v>107.10798064321763</v>
      </c>
      <c r="AO52" s="59">
        <v>106.62196773301446</v>
      </c>
      <c r="AP52" s="59">
        <v>112.60822618427197</v>
      </c>
      <c r="AQ52" s="59">
        <v>112.56920954361652</v>
      </c>
      <c r="AR52" s="59">
        <v>112.35579028935096</v>
      </c>
      <c r="AS52" s="59">
        <v>112.64980338194458</v>
      </c>
      <c r="AT52" s="59">
        <v>112.66732962206108</v>
      </c>
      <c r="AU52" s="59">
        <v>112.40014611045308</v>
      </c>
      <c r="AV52" s="59">
        <v>112.46146168515068</v>
      </c>
      <c r="AW52" s="59">
        <v>112.4053658561764</v>
      </c>
      <c r="AX52" s="59">
        <v>113.7618515887343</v>
      </c>
      <c r="AY52" s="59">
        <v>113.9417451738906</v>
      </c>
      <c r="AZ52" s="59">
        <v>114.02169660787632</v>
      </c>
      <c r="BA52" s="59">
        <v>113.27029802909659</v>
      </c>
      <c r="BB52" s="59">
        <v>112.78414818061573</v>
      </c>
      <c r="BC52" s="59">
        <v>112.41505029801418</v>
      </c>
      <c r="BD52" s="59">
        <v>112.6643905582314</v>
      </c>
      <c r="BE52" s="59">
        <v>113.01588277269019</v>
      </c>
      <c r="BF52" s="59">
        <v>113.82384025155365</v>
      </c>
      <c r="BG52" s="59">
        <v>113.19214948316031</v>
      </c>
      <c r="BH52" s="59">
        <v>114.82790406667209</v>
      </c>
      <c r="BI52" s="59">
        <v>114.7169870332106</v>
      </c>
      <c r="BJ52" s="59">
        <v>114.65227647584247</v>
      </c>
      <c r="BK52" s="59">
        <v>114.07455074675167</v>
      </c>
      <c r="BL52" s="59">
        <v>113.03652738838797</v>
      </c>
      <c r="BM52" s="59">
        <v>112.85234602456227</v>
      </c>
      <c r="BN52" s="59">
        <v>111.90985548153262</v>
      </c>
      <c r="BO52" s="59">
        <v>111.23604058492678</v>
      </c>
      <c r="BP52" s="59">
        <v>111.14229994363426</v>
      </c>
      <c r="BQ52" s="59">
        <v>111.86201874535352</v>
      </c>
      <c r="BR52" s="59">
        <v>111.44810416404859</v>
      </c>
      <c r="BS52" s="59">
        <v>111.49869661657345</v>
      </c>
      <c r="BT52" s="59">
        <v>112.71041033861155</v>
      </c>
      <c r="BU52" s="59">
        <v>114.74576201970218</v>
      </c>
      <c r="BV52" s="59">
        <v>116.10081283778757</v>
      </c>
      <c r="BW52" s="59">
        <v>115.83086381840027</v>
      </c>
      <c r="BX52" s="59">
        <v>119.50958254548931</v>
      </c>
      <c r="BY52" s="59">
        <v>121.24407811085884</v>
      </c>
      <c r="BZ52" s="59">
        <v>122.16126527516923</v>
      </c>
      <c r="CA52" s="59">
        <v>122.4793117697932</v>
      </c>
      <c r="CB52" s="59">
        <v>123.5746233042665</v>
      </c>
      <c r="CC52" s="59">
        <v>122.87435283886968</v>
      </c>
      <c r="CD52" s="59">
        <v>121.94267358564241</v>
      </c>
      <c r="CE52" s="59">
        <v>120.89111219229787</v>
      </c>
      <c r="CF52" s="59">
        <v>124.2338623381255</v>
      </c>
      <c r="CG52" s="59">
        <v>124.85763402351982</v>
      </c>
      <c r="CH52" s="59">
        <v>125.78017234850259</v>
      </c>
      <c r="CI52" s="59">
        <v>125.80054991892679</v>
      </c>
      <c r="CJ52" s="59">
        <v>125.54618752470212</v>
      </c>
      <c r="CK52" s="59">
        <v>125.20485554181246</v>
      </c>
      <c r="CL52" s="59">
        <v>124.47113274129522</v>
      </c>
      <c r="CM52" s="59">
        <v>124.9112996946393</v>
      </c>
      <c r="CN52" s="59">
        <v>125.67761634788839</v>
      </c>
      <c r="CO52" s="59">
        <v>125.20621165544148</v>
      </c>
      <c r="CP52" s="59">
        <v>125.33668891417474</v>
      </c>
      <c r="CQ52" s="59">
        <v>125.31552974563158</v>
      </c>
      <c r="CR52" s="59">
        <v>125.69251880718112</v>
      </c>
      <c r="CS52" s="59">
        <v>126.74077508696597</v>
      </c>
      <c r="CT52" s="59">
        <v>127.53516766965123</v>
      </c>
      <c r="CU52" s="59">
        <v>128.84121142753378</v>
      </c>
      <c r="CV52" s="59">
        <v>128.3496690585863</v>
      </c>
      <c r="CW52" s="59">
        <v>127.64375020103714</v>
      </c>
      <c r="CX52" s="59">
        <v>126.98690662016429</v>
      </c>
      <c r="CY52" s="59">
        <v>125.74348733757736</v>
      </c>
      <c r="CZ52" s="59">
        <v>125.54958874831073</v>
      </c>
      <c r="DA52" s="59">
        <v>124.86477426203469</v>
      </c>
      <c r="DB52" s="59">
        <v>124.01702086675314</v>
      </c>
      <c r="DC52" s="59">
        <v>123.78840959806877</v>
      </c>
      <c r="DD52" s="59">
        <v>124.17861440401995</v>
      </c>
      <c r="DE52" s="59">
        <v>124.002383313511</v>
      </c>
      <c r="DF52" s="59">
        <v>123.78966876795535</v>
      </c>
      <c r="DG52" s="59">
        <v>123.81709611994144</v>
      </c>
      <c r="DH52" s="59">
        <v>123.56232485503254</v>
      </c>
      <c r="DI52" s="59">
        <v>122.81156619173696</v>
      </c>
      <c r="DJ52" s="59">
        <v>122.50582410920558</v>
      </c>
      <c r="DK52" s="59">
        <v>122.13701809872936</v>
      </c>
      <c r="DL52" s="59">
        <v>121.21723094544706</v>
      </c>
      <c r="DM52" s="59">
        <v>120.49172017293913</v>
      </c>
      <c r="DN52" s="59">
        <v>122.31982443431276</v>
      </c>
      <c r="DO52" s="59">
        <v>122.32127240124267</v>
      </c>
      <c r="DP52" s="59">
        <v>122.10788202292579</v>
      </c>
      <c r="DQ52" s="59">
        <v>122.20716968887305</v>
      </c>
      <c r="DR52" s="59">
        <v>124.82329736052779</v>
      </c>
    </row>
    <row r="53" spans="1:122" s="42" customFormat="1" x14ac:dyDescent="0.35">
      <c r="B53" s="42">
        <v>259</v>
      </c>
      <c r="C53" s="31" t="s">
        <v>123</v>
      </c>
      <c r="D53" s="40" t="s">
        <v>124</v>
      </c>
      <c r="E53" s="102">
        <v>31.266363843842001</v>
      </c>
      <c r="F53" s="41">
        <v>97.764986281118553</v>
      </c>
      <c r="G53" s="41">
        <v>97.729587193640327</v>
      </c>
      <c r="H53" s="41">
        <v>97.830850297116982</v>
      </c>
      <c r="I53" s="41">
        <v>98.899717446908014</v>
      </c>
      <c r="J53" s="41">
        <v>100.48011686407692</v>
      </c>
      <c r="K53" s="41">
        <v>100.94970245239443</v>
      </c>
      <c r="L53" s="41">
        <v>101.09057331353051</v>
      </c>
      <c r="M53" s="41">
        <v>100.78968231302142</v>
      </c>
      <c r="N53" s="41">
        <v>101.02444527960721</v>
      </c>
      <c r="O53" s="41">
        <v>101.31257451422103</v>
      </c>
      <c r="P53" s="41">
        <v>101.26626247733017</v>
      </c>
      <c r="Q53" s="41">
        <v>100.86150156703431</v>
      </c>
      <c r="R53" s="41">
        <v>100.99764816905018</v>
      </c>
      <c r="S53" s="41">
        <v>101.05632318584338</v>
      </c>
      <c r="T53" s="41">
        <v>100.97599370714852</v>
      </c>
      <c r="U53" s="41">
        <v>101.47088622960304</v>
      </c>
      <c r="V53" s="41">
        <v>101.48308030533177</v>
      </c>
      <c r="W53" s="41">
        <v>101.28062201379247</v>
      </c>
      <c r="X53" s="41">
        <v>101.49864476238209</v>
      </c>
      <c r="Y53" s="41">
        <v>101.82453127588558</v>
      </c>
      <c r="Z53" s="41">
        <v>102.11777195963739</v>
      </c>
      <c r="AA53" s="41">
        <v>102.59817091526008</v>
      </c>
      <c r="AB53" s="41">
        <v>102.97940186021076</v>
      </c>
      <c r="AC53" s="41">
        <v>104.42817662690149</v>
      </c>
      <c r="AD53" s="41">
        <v>103.4101930632313</v>
      </c>
      <c r="AE53" s="41">
        <v>103.16258466711172</v>
      </c>
      <c r="AF53" s="41">
        <v>104.07330603197099</v>
      </c>
      <c r="AG53" s="41">
        <v>104.40042351188453</v>
      </c>
      <c r="AH53" s="41">
        <v>104.38571812173377</v>
      </c>
      <c r="AI53" s="41">
        <v>105.33543996001002</v>
      </c>
      <c r="AJ53" s="41">
        <v>105.90252345136486</v>
      </c>
      <c r="AK53" s="41">
        <v>105.50868161780652</v>
      </c>
      <c r="AL53" s="41">
        <v>106.31829705639426</v>
      </c>
      <c r="AM53" s="41">
        <v>106.72813157895025</v>
      </c>
      <c r="AN53" s="41">
        <v>107.10798064321763</v>
      </c>
      <c r="AO53" s="41">
        <v>106.62196773301446</v>
      </c>
      <c r="AP53" s="41">
        <v>112.60822618427197</v>
      </c>
      <c r="AQ53" s="41">
        <v>112.56920954361652</v>
      </c>
      <c r="AR53" s="41">
        <v>112.35579028935096</v>
      </c>
      <c r="AS53" s="41">
        <v>112.64980338194458</v>
      </c>
      <c r="AT53" s="41">
        <v>112.66732962206108</v>
      </c>
      <c r="AU53" s="41">
        <v>112.40014611045308</v>
      </c>
      <c r="AV53" s="41">
        <v>112.46146168515068</v>
      </c>
      <c r="AW53" s="41">
        <v>112.4053658561764</v>
      </c>
      <c r="AX53" s="41">
        <v>113.7618515887343</v>
      </c>
      <c r="AY53" s="41">
        <v>113.9417451738906</v>
      </c>
      <c r="AZ53" s="41">
        <v>114.02169660787632</v>
      </c>
      <c r="BA53" s="41">
        <v>113.27029802909659</v>
      </c>
      <c r="BB53" s="41">
        <v>112.78414818061573</v>
      </c>
      <c r="BC53" s="41">
        <v>112.41505029801418</v>
      </c>
      <c r="BD53" s="41">
        <v>112.6643905582314</v>
      </c>
      <c r="BE53" s="41">
        <v>113.01588277269019</v>
      </c>
      <c r="BF53" s="41">
        <v>113.82384025155365</v>
      </c>
      <c r="BG53" s="41">
        <v>113.19214948316031</v>
      </c>
      <c r="BH53" s="41">
        <v>114.82790406667209</v>
      </c>
      <c r="BI53" s="41">
        <v>114.7169870332106</v>
      </c>
      <c r="BJ53" s="41">
        <v>114.65227647584247</v>
      </c>
      <c r="BK53" s="41">
        <v>114.07455074675167</v>
      </c>
      <c r="BL53" s="41">
        <v>113.03652738838797</v>
      </c>
      <c r="BM53" s="41">
        <v>112.85234602456227</v>
      </c>
      <c r="BN53" s="41">
        <v>111.90985548153262</v>
      </c>
      <c r="BO53" s="41">
        <v>111.23604058492678</v>
      </c>
      <c r="BP53" s="41">
        <v>111.14229994363426</v>
      </c>
      <c r="BQ53" s="41">
        <v>111.86201874535352</v>
      </c>
      <c r="BR53" s="41">
        <v>111.44810416404859</v>
      </c>
      <c r="BS53" s="41">
        <v>111.49869661657345</v>
      </c>
      <c r="BT53" s="41">
        <v>112.71041033861155</v>
      </c>
      <c r="BU53" s="41">
        <v>114.74576201970218</v>
      </c>
      <c r="BV53" s="41">
        <v>116.10081283778757</v>
      </c>
      <c r="BW53" s="41">
        <v>115.83086381840027</v>
      </c>
      <c r="BX53" s="41">
        <v>119.50958254548931</v>
      </c>
      <c r="BY53" s="41">
        <v>121.24407811085884</v>
      </c>
      <c r="BZ53" s="41">
        <v>122.16126527516923</v>
      </c>
      <c r="CA53" s="41">
        <v>122.4793117697932</v>
      </c>
      <c r="CB53" s="41">
        <v>123.5746233042665</v>
      </c>
      <c r="CC53" s="41">
        <v>122.87435283886968</v>
      </c>
      <c r="CD53" s="41">
        <v>121.94267358564241</v>
      </c>
      <c r="CE53" s="41">
        <v>120.89111219229787</v>
      </c>
      <c r="CF53" s="41">
        <v>124.2338623381255</v>
      </c>
      <c r="CG53" s="41">
        <v>124.85763402351982</v>
      </c>
      <c r="CH53" s="41">
        <v>125.78017234850259</v>
      </c>
      <c r="CI53" s="41">
        <v>125.80054991892679</v>
      </c>
      <c r="CJ53" s="41">
        <v>125.54618752470212</v>
      </c>
      <c r="CK53" s="41">
        <v>125.20485554181246</v>
      </c>
      <c r="CL53" s="41">
        <v>124.47113274129522</v>
      </c>
      <c r="CM53" s="41">
        <v>124.9112996946393</v>
      </c>
      <c r="CN53" s="41">
        <v>125.67761634788839</v>
      </c>
      <c r="CO53" s="41">
        <v>125.20621165544148</v>
      </c>
      <c r="CP53" s="41">
        <v>125.33668891417474</v>
      </c>
      <c r="CQ53" s="41">
        <v>125.31552974563158</v>
      </c>
      <c r="CR53" s="41">
        <v>125.69251880718112</v>
      </c>
      <c r="CS53" s="41">
        <v>126.74077508696597</v>
      </c>
      <c r="CT53" s="41">
        <v>127.53516766965123</v>
      </c>
      <c r="CU53" s="41">
        <v>128.84121142753378</v>
      </c>
      <c r="CV53" s="41">
        <v>128.3496690585863</v>
      </c>
      <c r="CW53" s="41">
        <v>127.64375020103714</v>
      </c>
      <c r="CX53" s="41">
        <v>126.98690662016429</v>
      </c>
      <c r="CY53" s="41">
        <v>125.74348733757736</v>
      </c>
      <c r="CZ53" s="41">
        <v>125.54958874831073</v>
      </c>
      <c r="DA53" s="41">
        <v>124.86477426203469</v>
      </c>
      <c r="DB53" s="41">
        <v>124.01702086675314</v>
      </c>
      <c r="DC53" s="41">
        <v>123.78840959806877</v>
      </c>
      <c r="DD53" s="41">
        <v>124.17861440401995</v>
      </c>
      <c r="DE53" s="41">
        <v>124.002383313511</v>
      </c>
      <c r="DF53" s="41">
        <v>123.78966876795535</v>
      </c>
      <c r="DG53" s="41">
        <v>123.81709611994144</v>
      </c>
      <c r="DH53" s="41">
        <v>123.56232485503254</v>
      </c>
      <c r="DI53" s="41">
        <v>122.81156619173696</v>
      </c>
      <c r="DJ53" s="41">
        <v>122.50582410920558</v>
      </c>
      <c r="DK53" s="41">
        <v>122.13701809872936</v>
      </c>
      <c r="DL53" s="41">
        <v>121.21723094544706</v>
      </c>
      <c r="DM53" s="41">
        <v>120.49172017293913</v>
      </c>
      <c r="DN53" s="41">
        <v>122.31982443431276</v>
      </c>
      <c r="DO53" s="41">
        <v>122.32127240124267</v>
      </c>
      <c r="DP53" s="41">
        <v>122.10788202292579</v>
      </c>
      <c r="DQ53" s="41">
        <v>122.20716968887305</v>
      </c>
      <c r="DR53" s="41">
        <v>124.82329736052779</v>
      </c>
    </row>
    <row r="54" spans="1:122" x14ac:dyDescent="0.35">
      <c r="A54" s="44">
        <v>27</v>
      </c>
      <c r="B54" s="44"/>
      <c r="C54" s="44"/>
      <c r="D54" s="45" t="s">
        <v>27</v>
      </c>
      <c r="E54" s="101">
        <v>3.75159979771992</v>
      </c>
      <c r="F54" s="24">
        <v>98.274743653529654</v>
      </c>
      <c r="G54" s="24">
        <v>98.272907918089317</v>
      </c>
      <c r="H54" s="24">
        <v>98.278157644973632</v>
      </c>
      <c r="I54" s="24">
        <v>98.314154703045716</v>
      </c>
      <c r="J54" s="24">
        <v>98.378452334199991</v>
      </c>
      <c r="K54" s="24">
        <v>101.2080855408967</v>
      </c>
      <c r="L54" s="24">
        <v>101.21553827448942</v>
      </c>
      <c r="M54" s="24">
        <v>101.19960827764623</v>
      </c>
      <c r="N54" s="24">
        <v>101.2086426776783</v>
      </c>
      <c r="O54" s="24">
        <v>101.22155747880123</v>
      </c>
      <c r="P54" s="24">
        <v>101.2247784406857</v>
      </c>
      <c r="Q54" s="24">
        <v>101.20337305596399</v>
      </c>
      <c r="R54" s="24">
        <v>101.21026130667667</v>
      </c>
      <c r="S54" s="24">
        <v>101.21322732544569</v>
      </c>
      <c r="T54" s="24">
        <v>94.418196808831581</v>
      </c>
      <c r="U54" s="24">
        <v>94.440194448575767</v>
      </c>
      <c r="V54" s="24">
        <v>94.346233203902969</v>
      </c>
      <c r="W54" s="24">
        <v>94.337263789162733</v>
      </c>
      <c r="X54" s="24">
        <v>94.346922074222462</v>
      </c>
      <c r="Y54" s="24">
        <v>98.311952676198672</v>
      </c>
      <c r="Z54" s="24">
        <v>98.324871535898083</v>
      </c>
      <c r="AA54" s="24">
        <v>98.56285740985949</v>
      </c>
      <c r="AB54" s="24">
        <v>98.579603131779663</v>
      </c>
      <c r="AC54" s="24">
        <v>98.642730578159643</v>
      </c>
      <c r="AD54" s="24">
        <v>98.905719411554941</v>
      </c>
      <c r="AE54" s="24">
        <v>100.72345159923432</v>
      </c>
      <c r="AF54" s="24">
        <v>100.76340085518744</v>
      </c>
      <c r="AG54" s="24">
        <v>100.7507321898634</v>
      </c>
      <c r="AH54" s="24">
        <v>100.72924604164719</v>
      </c>
      <c r="AI54" s="24">
        <v>100.71470509560963</v>
      </c>
      <c r="AJ54" s="24">
        <v>100.70804339979007</v>
      </c>
      <c r="AK54" s="24">
        <v>100.75922170594569</v>
      </c>
      <c r="AL54" s="24">
        <v>100.7783103808886</v>
      </c>
      <c r="AM54" s="24">
        <v>100.79581261636829</v>
      </c>
      <c r="AN54" s="24">
        <v>100.81197975366909</v>
      </c>
      <c r="AO54" s="24">
        <v>100.79128470395963</v>
      </c>
      <c r="AP54" s="24">
        <v>100.77276401963239</v>
      </c>
      <c r="AQ54" s="24">
        <v>100.77118802517663</v>
      </c>
      <c r="AR54" s="24">
        <v>100.7607195793645</v>
      </c>
      <c r="AS54" s="24">
        <v>99.706863816811065</v>
      </c>
      <c r="AT54" s="24">
        <v>99.707571326858883</v>
      </c>
      <c r="AU54" s="24">
        <v>99.695545460667532</v>
      </c>
      <c r="AV54" s="24">
        <v>99.698025190225451</v>
      </c>
      <c r="AW54" s="24">
        <v>99.695756606008388</v>
      </c>
      <c r="AX54" s="24">
        <v>99.750327889108917</v>
      </c>
      <c r="AY54" s="24">
        <v>99.757520446272494</v>
      </c>
      <c r="AZ54" s="24">
        <v>99.760713769624331</v>
      </c>
      <c r="BA54" s="24">
        <v>99.730621518852416</v>
      </c>
      <c r="BB54" s="24">
        <v>99.713791703686539</v>
      </c>
      <c r="BC54" s="24">
        <v>99.698884175326057</v>
      </c>
      <c r="BD54" s="24">
        <v>96.064027024278289</v>
      </c>
      <c r="BE54" s="24">
        <v>96.078195920877448</v>
      </c>
      <c r="BF54" s="24">
        <v>96.072934045198636</v>
      </c>
      <c r="BG54" s="24">
        <v>96.047625329330259</v>
      </c>
      <c r="BH54" s="24">
        <v>96.999354766201151</v>
      </c>
      <c r="BI54" s="24">
        <v>98.7298327527092</v>
      </c>
      <c r="BJ54" s="24">
        <v>98.727131857735486</v>
      </c>
      <c r="BK54" s="24">
        <v>105.13577728151614</v>
      </c>
      <c r="BL54" s="24">
        <v>105.08681749589287</v>
      </c>
      <c r="BM54" s="24">
        <v>106.47897929286263</v>
      </c>
      <c r="BN54" s="24">
        <v>106.48754907523697</v>
      </c>
      <c r="BO54" s="24">
        <v>106.70892863568092</v>
      </c>
      <c r="BP54" s="24">
        <v>106.70429053034466</v>
      </c>
      <c r="BQ54" s="24">
        <v>106.73979001638092</v>
      </c>
      <c r="BR54" s="24">
        <v>106.71938812486297</v>
      </c>
      <c r="BS54" s="24">
        <v>107.04205774296972</v>
      </c>
      <c r="BT54" s="24">
        <v>107.02306098252849</v>
      </c>
      <c r="BU54" s="24">
        <v>107.02306098252849</v>
      </c>
      <c r="BV54" s="24">
        <v>107.02306098252849</v>
      </c>
      <c r="BW54" s="24">
        <v>108.85726917822751</v>
      </c>
      <c r="BX54" s="24">
        <v>108.8947177789445</v>
      </c>
      <c r="BY54" s="24">
        <v>108.97452622378799</v>
      </c>
      <c r="BZ54" s="24">
        <v>109.00476844185563</v>
      </c>
      <c r="CA54" s="24">
        <v>109.0324174700911</v>
      </c>
      <c r="CB54" s="24">
        <v>109.02761772218669</v>
      </c>
      <c r="CC54" s="24">
        <v>109.02555392720549</v>
      </c>
      <c r="CD54" s="24">
        <v>112.04130266122468</v>
      </c>
      <c r="CE54" s="24">
        <v>111.99331351637592</v>
      </c>
      <c r="CF54" s="24">
        <v>112.16643497425932</v>
      </c>
      <c r="CG54" s="24">
        <v>112.1609228333453</v>
      </c>
      <c r="CH54" s="24">
        <v>112.20170817137182</v>
      </c>
      <c r="CI54" s="24">
        <v>112.20260598389476</v>
      </c>
      <c r="CJ54" s="24">
        <v>112.19138956567109</v>
      </c>
      <c r="CK54" s="24">
        <v>110.71603406893482</v>
      </c>
      <c r="CL54" s="24">
        <v>110.68425120742344</v>
      </c>
      <c r="CM54" s="24">
        <v>110.70333843581257</v>
      </c>
      <c r="CN54" s="24">
        <v>110.73646759343571</v>
      </c>
      <c r="CO54" s="24">
        <v>110.7482971536073</v>
      </c>
      <c r="CP54" s="24">
        <v>110.76593221232181</v>
      </c>
      <c r="CQ54" s="24">
        <v>110.76501823935679</v>
      </c>
      <c r="CR54" s="24">
        <v>110.78120259307744</v>
      </c>
      <c r="CS54" s="24">
        <v>111.08487237685843</v>
      </c>
      <c r="CT54" s="24">
        <v>111.09933412870878</v>
      </c>
      <c r="CU54" s="24">
        <v>111.05140026568324</v>
      </c>
      <c r="CV54" s="24">
        <v>111.03061345265078</v>
      </c>
      <c r="CW54" s="24">
        <v>111.72804994615399</v>
      </c>
      <c r="CX54" s="24">
        <v>111.69968241841624</v>
      </c>
      <c r="CY54" s="24">
        <v>111.71193002897036</v>
      </c>
      <c r="CZ54" s="24">
        <v>110.44463045082126</v>
      </c>
      <c r="DA54" s="24">
        <v>110.41518605077556</v>
      </c>
      <c r="DB54" s="24">
        <v>110.42249306008945</v>
      </c>
      <c r="DC54" s="24">
        <v>110.41256102105625</v>
      </c>
      <c r="DD54" s="24">
        <v>110.92375253040969</v>
      </c>
      <c r="DE54" s="24">
        <v>110.9163104766363</v>
      </c>
      <c r="DF54" s="24">
        <v>112.53076972217988</v>
      </c>
      <c r="DG54" s="24">
        <v>112.5320040684898</v>
      </c>
      <c r="DH54" s="24">
        <v>112.52052869267519</v>
      </c>
      <c r="DI54" s="24">
        <v>112.48658740728575</v>
      </c>
      <c r="DJ54" s="24">
        <v>112.47271086281027</v>
      </c>
      <c r="DK54" s="24">
        <v>112.45632025387111</v>
      </c>
      <c r="DL54" s="24">
        <v>112.4152452798582</v>
      </c>
      <c r="DM54" s="24">
        <v>112.38264486588758</v>
      </c>
      <c r="DN54" s="24">
        <v>112.46445038171332</v>
      </c>
      <c r="DO54" s="24">
        <v>112.9768238845122</v>
      </c>
      <c r="DP54" s="24">
        <v>112.96725448842086</v>
      </c>
      <c r="DQ54" s="24">
        <v>117.11616672486592</v>
      </c>
      <c r="DR54" s="24">
        <v>117.24005007979586</v>
      </c>
    </row>
    <row r="55" spans="1:122" s="42" customFormat="1" x14ac:dyDescent="0.35">
      <c r="B55" s="42">
        <v>272</v>
      </c>
      <c r="C55" s="37">
        <v>2720</v>
      </c>
      <c r="D55" s="40" t="s">
        <v>115</v>
      </c>
      <c r="E55" s="102">
        <v>1.6583732048118001</v>
      </c>
      <c r="F55" s="41">
        <v>100.00002328861306</v>
      </c>
      <c r="G55" s="41">
        <v>100.00002328861306</v>
      </c>
      <c r="H55" s="41">
        <v>100.00002328861306</v>
      </c>
      <c r="I55" s="41">
        <v>100.00002328861306</v>
      </c>
      <c r="J55" s="41">
        <v>100.00002328861306</v>
      </c>
      <c r="K55" s="41">
        <v>100.00002328861306</v>
      </c>
      <c r="L55" s="41">
        <v>100.00002328861306</v>
      </c>
      <c r="M55" s="41">
        <v>100.00002328861306</v>
      </c>
      <c r="N55" s="41">
        <v>100.00002328861306</v>
      </c>
      <c r="O55" s="41">
        <v>99.999930134160749</v>
      </c>
      <c r="P55" s="41">
        <v>99.999930134160749</v>
      </c>
      <c r="Q55" s="41">
        <v>99.999930134160749</v>
      </c>
      <c r="R55" s="41">
        <v>99.999930134160749</v>
      </c>
      <c r="S55" s="41">
        <v>99.999930134160749</v>
      </c>
      <c r="T55" s="41">
        <v>99.999930134160749</v>
      </c>
      <c r="U55" s="41">
        <v>99.999930134160749</v>
      </c>
      <c r="V55" s="41">
        <v>99.999930134160749</v>
      </c>
      <c r="W55" s="41">
        <v>99.999930134160749</v>
      </c>
      <c r="X55" s="41">
        <v>99.999930134160749</v>
      </c>
      <c r="Y55" s="41">
        <v>108.97292332482013</v>
      </c>
      <c r="Z55" s="41">
        <v>108.97292332482013</v>
      </c>
      <c r="AA55" s="41">
        <v>108.97292332482013</v>
      </c>
      <c r="AB55" s="41">
        <v>108.97292332482013</v>
      </c>
      <c r="AC55" s="41">
        <v>108.97292332482013</v>
      </c>
      <c r="AD55" s="41">
        <v>108.97292332482013</v>
      </c>
      <c r="AE55" s="41">
        <v>113.12448895576431</v>
      </c>
      <c r="AF55" s="41">
        <v>113.12448895576431</v>
      </c>
      <c r="AG55" s="41">
        <v>113.12448895576431</v>
      </c>
      <c r="AH55" s="41">
        <v>113.12448895576431</v>
      </c>
      <c r="AI55" s="41">
        <v>113.12448895576431</v>
      </c>
      <c r="AJ55" s="41">
        <v>113.12448895576431</v>
      </c>
      <c r="AK55" s="41">
        <v>113.12448895576431</v>
      </c>
      <c r="AL55" s="41">
        <v>113.12448895576431</v>
      </c>
      <c r="AM55" s="41">
        <v>113.12448895576431</v>
      </c>
      <c r="AN55" s="41">
        <v>113.12448895576431</v>
      </c>
      <c r="AO55" s="41">
        <v>113.12448895576431</v>
      </c>
      <c r="AP55" s="41">
        <v>113.12448895576431</v>
      </c>
      <c r="AQ55" s="41">
        <v>113.12448895576431</v>
      </c>
      <c r="AR55" s="41">
        <v>113.12448895576431</v>
      </c>
      <c r="AS55" s="41">
        <v>110.71355481268837</v>
      </c>
      <c r="AT55" s="41">
        <v>110.71355481268837</v>
      </c>
      <c r="AU55" s="41">
        <v>110.71355481268837</v>
      </c>
      <c r="AV55" s="41">
        <v>110.71355481268837</v>
      </c>
      <c r="AW55" s="41">
        <v>110.71355481268837</v>
      </c>
      <c r="AX55" s="41">
        <v>110.71355481268837</v>
      </c>
      <c r="AY55" s="41">
        <v>110.71355481268837</v>
      </c>
      <c r="AZ55" s="41">
        <v>110.71355481268837</v>
      </c>
      <c r="BA55" s="41">
        <v>110.71355481268837</v>
      </c>
      <c r="BB55" s="41">
        <v>110.71355481268837</v>
      </c>
      <c r="BC55" s="41">
        <v>110.71355481268837</v>
      </c>
      <c r="BD55" s="41">
        <v>102.46792677254847</v>
      </c>
      <c r="BE55" s="41">
        <v>102.46792677254847</v>
      </c>
      <c r="BF55" s="41">
        <v>102.46792677254847</v>
      </c>
      <c r="BG55" s="41">
        <v>102.46792677254847</v>
      </c>
      <c r="BH55" s="41">
        <v>102.46792677254847</v>
      </c>
      <c r="BI55" s="41">
        <v>102.46792677254847</v>
      </c>
      <c r="BJ55" s="41">
        <v>102.46792677254847</v>
      </c>
      <c r="BK55" s="41">
        <v>102.46792677254847</v>
      </c>
      <c r="BL55" s="41">
        <v>102.46792677254847</v>
      </c>
      <c r="BM55" s="41">
        <v>102.46792677254847</v>
      </c>
      <c r="BN55" s="41">
        <v>102.46792677254847</v>
      </c>
      <c r="BO55" s="41">
        <v>102.46792677254847</v>
      </c>
      <c r="BP55" s="41">
        <v>102.46792677254847</v>
      </c>
      <c r="BQ55" s="41">
        <v>102.46792677254847</v>
      </c>
      <c r="BR55" s="41">
        <v>102.46792677254847</v>
      </c>
      <c r="BS55" s="41">
        <v>102.46792677254847</v>
      </c>
      <c r="BT55" s="41">
        <v>102.46792677254847</v>
      </c>
      <c r="BU55" s="41">
        <v>102.46792677254847</v>
      </c>
      <c r="BV55" s="41">
        <v>102.46792677254847</v>
      </c>
      <c r="BW55" s="41">
        <v>106.56581636389006</v>
      </c>
      <c r="BX55" s="41">
        <v>106.56581636389006</v>
      </c>
      <c r="BY55" s="41">
        <v>106.56581636389006</v>
      </c>
      <c r="BZ55" s="41">
        <v>106.56581636389006</v>
      </c>
      <c r="CA55" s="41">
        <v>106.56581636389009</v>
      </c>
      <c r="CB55" s="41">
        <v>106.56581636389009</v>
      </c>
      <c r="CC55" s="41">
        <v>106.56581636389009</v>
      </c>
      <c r="CD55" s="41">
        <v>113.48356955769947</v>
      </c>
      <c r="CE55" s="41">
        <v>113.48356955769947</v>
      </c>
      <c r="CF55" s="41">
        <v>113.87086297665243</v>
      </c>
      <c r="CG55" s="41">
        <v>113.87086297665243</v>
      </c>
      <c r="CH55" s="41">
        <v>113.87086297665243</v>
      </c>
      <c r="CI55" s="41">
        <v>113.87086297665243</v>
      </c>
      <c r="CJ55" s="41">
        <v>113.87086297665243</v>
      </c>
      <c r="CK55" s="41">
        <v>113.87086297665243</v>
      </c>
      <c r="CL55" s="41">
        <v>113.87086297665243</v>
      </c>
      <c r="CM55" s="41">
        <v>113.87086297665243</v>
      </c>
      <c r="CN55" s="41">
        <v>113.87086297665243</v>
      </c>
      <c r="CO55" s="41">
        <v>113.87086297665243</v>
      </c>
      <c r="CP55" s="41">
        <v>113.87086297665243</v>
      </c>
      <c r="CQ55" s="41">
        <v>113.87086297665243</v>
      </c>
      <c r="CR55" s="41">
        <v>113.87086297665243</v>
      </c>
      <c r="CS55" s="41">
        <v>113.87086297665243</v>
      </c>
      <c r="CT55" s="41">
        <v>113.87086297665243</v>
      </c>
      <c r="CU55" s="41">
        <v>113.87086297665243</v>
      </c>
      <c r="CV55" s="41">
        <v>113.87086297665243</v>
      </c>
      <c r="CW55" s="41">
        <v>113.87086297665243</v>
      </c>
      <c r="CX55" s="41">
        <v>113.87086297665243</v>
      </c>
      <c r="CY55" s="41">
        <v>113.87086297665243</v>
      </c>
      <c r="CZ55" s="41">
        <v>113.87086297665243</v>
      </c>
      <c r="DA55" s="41">
        <v>113.87086297665243</v>
      </c>
      <c r="DB55" s="41">
        <v>113.87086297665243</v>
      </c>
      <c r="DC55" s="41">
        <v>113.87086297665243</v>
      </c>
      <c r="DD55" s="41">
        <v>113.87086297665242</v>
      </c>
      <c r="DE55" s="41">
        <v>113.87086297665242</v>
      </c>
      <c r="DF55" s="41">
        <v>113.87086297665245</v>
      </c>
      <c r="DG55" s="41">
        <v>113.87086297665245</v>
      </c>
      <c r="DH55" s="41">
        <v>113.87086297665245</v>
      </c>
      <c r="DI55" s="41">
        <v>113.87086297665245</v>
      </c>
      <c r="DJ55" s="41">
        <v>113.87086297665245</v>
      </c>
      <c r="DK55" s="41">
        <v>113.87086297665245</v>
      </c>
      <c r="DL55" s="41">
        <v>113.87086297665245</v>
      </c>
      <c r="DM55" s="41">
        <v>113.87086297665245</v>
      </c>
      <c r="DN55" s="41">
        <v>113.87086297665245</v>
      </c>
      <c r="DO55" s="41">
        <v>113.87086297665245</v>
      </c>
      <c r="DP55" s="41">
        <v>113.87086297665245</v>
      </c>
      <c r="DQ55" s="41">
        <v>113.87086297665245</v>
      </c>
      <c r="DR55" s="41">
        <v>113.87086297665245</v>
      </c>
    </row>
    <row r="56" spans="1:122" s="42" customFormat="1" x14ac:dyDescent="0.35">
      <c r="B56" s="42">
        <v>273</v>
      </c>
      <c r="C56" s="37">
        <v>2732</v>
      </c>
      <c r="D56" s="40" t="s">
        <v>116</v>
      </c>
      <c r="E56" s="102">
        <v>2.09322659290812</v>
      </c>
      <c r="F56" s="41">
        <v>96.907878963713713</v>
      </c>
      <c r="G56" s="41">
        <v>96.904588854210047</v>
      </c>
      <c r="H56" s="41">
        <v>96.913997713424834</v>
      </c>
      <c r="I56" s="41">
        <v>96.978513689019294</v>
      </c>
      <c r="J56" s="41">
        <v>97.093751561903929</v>
      </c>
      <c r="K56" s="41">
        <v>102.1651811920409</v>
      </c>
      <c r="L56" s="41">
        <v>102.17853840522251</v>
      </c>
      <c r="M56" s="41">
        <v>102.14998775851423</v>
      </c>
      <c r="N56" s="41">
        <v>102.16617972428017</v>
      </c>
      <c r="O56" s="41">
        <v>102.18940016792098</v>
      </c>
      <c r="P56" s="41">
        <v>102.19517295907275</v>
      </c>
      <c r="Q56" s="41">
        <v>102.15680901067647</v>
      </c>
      <c r="R56" s="41">
        <v>102.1691545255232</v>
      </c>
      <c r="S56" s="41">
        <v>102.17447039311806</v>
      </c>
      <c r="T56" s="41">
        <v>89.996030085700667</v>
      </c>
      <c r="U56" s="41">
        <v>90.035455507245686</v>
      </c>
      <c r="V56" s="41">
        <v>89.867052818448258</v>
      </c>
      <c r="W56" s="41">
        <v>89.850977323019748</v>
      </c>
      <c r="X56" s="41">
        <v>89.868287451029374</v>
      </c>
      <c r="Y56" s="41">
        <v>89.865725153168668</v>
      </c>
      <c r="Z56" s="41">
        <v>89.88887906856381</v>
      </c>
      <c r="AA56" s="41">
        <v>90.315410892513839</v>
      </c>
      <c r="AB56" s="41">
        <v>90.34542352811728</v>
      </c>
      <c r="AC56" s="41">
        <v>90.458564129269647</v>
      </c>
      <c r="AD56" s="41">
        <v>90.929907679705636</v>
      </c>
      <c r="AE56" s="41">
        <v>90.898644225959089</v>
      </c>
      <c r="AF56" s="41">
        <v>90.970243555463384</v>
      </c>
      <c r="AG56" s="41">
        <v>90.94753805266302</v>
      </c>
      <c r="AH56" s="41">
        <v>90.909029355336685</v>
      </c>
      <c r="AI56" s="41">
        <v>90.882968244514799</v>
      </c>
      <c r="AJ56" s="41">
        <v>90.871028774237729</v>
      </c>
      <c r="AK56" s="41">
        <v>90.962753446412052</v>
      </c>
      <c r="AL56" s="41">
        <v>90.996965255729393</v>
      </c>
      <c r="AM56" s="41">
        <v>91.028333757977435</v>
      </c>
      <c r="AN56" s="41">
        <v>91.057309421306442</v>
      </c>
      <c r="AO56" s="41">
        <v>91.020218575734901</v>
      </c>
      <c r="AP56" s="41">
        <v>90.98702475151579</v>
      </c>
      <c r="AQ56" s="41">
        <v>90.984200164583129</v>
      </c>
      <c r="AR56" s="41">
        <v>90.965438020377505</v>
      </c>
      <c r="AS56" s="41">
        <v>90.986736964301031</v>
      </c>
      <c r="AT56" s="41">
        <v>90.988005004063751</v>
      </c>
      <c r="AU56" s="41">
        <v>90.966451562442231</v>
      </c>
      <c r="AV56" s="41">
        <v>90.970895874844629</v>
      </c>
      <c r="AW56" s="41">
        <v>90.966829989135618</v>
      </c>
      <c r="AX56" s="41">
        <v>91.064635747640182</v>
      </c>
      <c r="AY56" s="41">
        <v>91.077526657822247</v>
      </c>
      <c r="AZ56" s="41">
        <v>91.083249913623334</v>
      </c>
      <c r="BA56" s="41">
        <v>91.029316869636929</v>
      </c>
      <c r="BB56" s="41">
        <v>90.99915351733388</v>
      </c>
      <c r="BC56" s="41">
        <v>90.97243539681547</v>
      </c>
      <c r="BD56" s="41">
        <v>90.99049328224902</v>
      </c>
      <c r="BE56" s="41">
        <v>91.015887584899033</v>
      </c>
      <c r="BF56" s="41">
        <v>91.006456951923511</v>
      </c>
      <c r="BG56" s="41">
        <v>90.961097231359119</v>
      </c>
      <c r="BH56" s="41">
        <v>92.666840878485431</v>
      </c>
      <c r="BI56" s="41">
        <v>95.768301984577633</v>
      </c>
      <c r="BJ56" s="41">
        <v>95.763461286933406</v>
      </c>
      <c r="BK56" s="41">
        <v>107.2494002468965</v>
      </c>
      <c r="BL56" s="41">
        <v>107.161651733447</v>
      </c>
      <c r="BM56" s="41">
        <v>109.65676331553765</v>
      </c>
      <c r="BN56" s="41">
        <v>109.67212256710218</v>
      </c>
      <c r="BO56" s="41">
        <v>110.06889161112001</v>
      </c>
      <c r="BP56" s="41">
        <v>110.06057893484301</v>
      </c>
      <c r="BQ56" s="41">
        <v>110.1242031335246</v>
      </c>
      <c r="BR56" s="41">
        <v>110.08763770274362</v>
      </c>
      <c r="BS56" s="41">
        <v>110.66594455118559</v>
      </c>
      <c r="BT56" s="41">
        <v>110.63189747626782</v>
      </c>
      <c r="BU56" s="41">
        <v>110.63189747626782</v>
      </c>
      <c r="BV56" s="41">
        <v>110.63189747626782</v>
      </c>
      <c r="BW56" s="41">
        <v>110.67268847409477</v>
      </c>
      <c r="BX56" s="41">
        <v>110.73980598700552</v>
      </c>
      <c r="BY56" s="41">
        <v>110.88284322269976</v>
      </c>
      <c r="BZ56" s="41">
        <v>110.93704504660624</v>
      </c>
      <c r="CA56" s="41">
        <v>110.98659920815126</v>
      </c>
      <c r="CB56" s="41">
        <v>110.97799682686664</v>
      </c>
      <c r="CC56" s="41">
        <v>110.97429797607796</v>
      </c>
      <c r="CD56" s="41">
        <v>110.89865676545571</v>
      </c>
      <c r="CE56" s="41">
        <v>110.81264788962866</v>
      </c>
      <c r="CF56" s="41">
        <v>110.81609013425195</v>
      </c>
      <c r="CG56" s="41">
        <v>110.80621096168264</v>
      </c>
      <c r="CH56" s="41">
        <v>110.8793087650493</v>
      </c>
      <c r="CI56" s="41">
        <v>110.88091787573556</v>
      </c>
      <c r="CJ56" s="41">
        <v>110.86081517281673</v>
      </c>
      <c r="CK56" s="41">
        <v>108.21659910854864</v>
      </c>
      <c r="CL56" s="41">
        <v>108.15963605580464</v>
      </c>
      <c r="CM56" s="41">
        <v>108.19384527252596</v>
      </c>
      <c r="CN56" s="41">
        <v>108.25322123376144</v>
      </c>
      <c r="CO56" s="41">
        <v>108.27442284456519</v>
      </c>
      <c r="CP56" s="41">
        <v>108.30602940017187</v>
      </c>
      <c r="CQ56" s="41">
        <v>108.30439132582184</v>
      </c>
      <c r="CR56" s="41">
        <v>108.33339784539801</v>
      </c>
      <c r="CS56" s="41">
        <v>108.87765210973147</v>
      </c>
      <c r="CT56" s="41">
        <v>108.90357128422515</v>
      </c>
      <c r="CU56" s="41">
        <v>108.81766148762703</v>
      </c>
      <c r="CV56" s="41">
        <v>108.780406178607</v>
      </c>
      <c r="CW56" s="41">
        <v>110.03039154417317</v>
      </c>
      <c r="CX56" s="41">
        <v>109.97954964693983</v>
      </c>
      <c r="CY56" s="41">
        <v>110.00150051142484</v>
      </c>
      <c r="CZ56" s="41">
        <v>107.7301741021662</v>
      </c>
      <c r="DA56" s="41">
        <v>107.67740217311193</v>
      </c>
      <c r="DB56" s="41">
        <v>107.6904982109498</v>
      </c>
      <c r="DC56" s="41">
        <v>107.67269744549317</v>
      </c>
      <c r="DD56" s="41">
        <v>108.58888395372119</v>
      </c>
      <c r="DE56" s="41">
        <v>108.5755458815194</v>
      </c>
      <c r="DF56" s="41">
        <v>111.46907159895912</v>
      </c>
      <c r="DG56" s="41">
        <v>111.47128386464611</v>
      </c>
      <c r="DH56" s="41">
        <v>111.45071704319894</v>
      </c>
      <c r="DI56" s="41">
        <v>111.38988554037321</v>
      </c>
      <c r="DJ56" s="41">
        <v>111.36501520783317</v>
      </c>
      <c r="DK56" s="41">
        <v>111.33563902591911</v>
      </c>
      <c r="DL56" s="41">
        <v>111.26202212045828</v>
      </c>
      <c r="DM56" s="41">
        <v>111.20359380368066</v>
      </c>
      <c r="DN56" s="41">
        <v>111.35021030361624</v>
      </c>
      <c r="DO56" s="41">
        <v>112.26851524774881</v>
      </c>
      <c r="DP56" s="41">
        <v>112.25136443160584</v>
      </c>
      <c r="DQ56" s="41">
        <v>119.68728100162245</v>
      </c>
      <c r="DR56" s="41">
        <v>119.9093117988953</v>
      </c>
    </row>
    <row r="57" spans="1:122" x14ac:dyDescent="0.35">
      <c r="A57" s="44">
        <v>31</v>
      </c>
      <c r="B57" s="44"/>
      <c r="C57" s="44"/>
      <c r="D57" s="45" t="s">
        <v>28</v>
      </c>
      <c r="E57" s="103">
        <v>91.576484518953094</v>
      </c>
      <c r="F57" s="48">
        <v>98.875896628375571</v>
      </c>
      <c r="G57" s="48">
        <v>99.03968785250315</v>
      </c>
      <c r="H57" s="48">
        <v>98.765057431065401</v>
      </c>
      <c r="I57" s="48">
        <v>98.747313975266422</v>
      </c>
      <c r="J57" s="48">
        <v>98.863075489091628</v>
      </c>
      <c r="K57" s="48">
        <v>99.751660270924248</v>
      </c>
      <c r="L57" s="48">
        <v>100.28223407828254</v>
      </c>
      <c r="M57" s="48">
        <v>100.76892711350321</v>
      </c>
      <c r="N57" s="48">
        <v>100.77666241339192</v>
      </c>
      <c r="O57" s="48">
        <v>101.44827566903226</v>
      </c>
      <c r="P57" s="48">
        <v>101.3406045392818</v>
      </c>
      <c r="Q57" s="48">
        <v>101.3406045392818</v>
      </c>
      <c r="R57" s="48">
        <v>102.83770857269963</v>
      </c>
      <c r="S57" s="48">
        <v>102.87127097215412</v>
      </c>
      <c r="T57" s="48">
        <v>102.7427391655086</v>
      </c>
      <c r="U57" s="48">
        <v>103.70770982236354</v>
      </c>
      <c r="V57" s="48">
        <v>104.34818437375905</v>
      </c>
      <c r="W57" s="48">
        <v>105.14592112780512</v>
      </c>
      <c r="X57" s="48">
        <v>105.2968836525711</v>
      </c>
      <c r="Y57" s="48">
        <v>106.97441158012049</v>
      </c>
      <c r="Z57" s="48">
        <v>108.09219271250785</v>
      </c>
      <c r="AA57" s="48">
        <v>107.81795827859568</v>
      </c>
      <c r="AB57" s="48">
        <v>108.15207804429761</v>
      </c>
      <c r="AC57" s="48">
        <v>108.66556113381543</v>
      </c>
      <c r="AD57" s="48">
        <v>108.78290138878695</v>
      </c>
      <c r="AE57" s="48">
        <v>109.58727418142205</v>
      </c>
      <c r="AF57" s="48">
        <v>109.77909866804437</v>
      </c>
      <c r="AG57" s="48">
        <v>109.72186229871825</v>
      </c>
      <c r="AH57" s="48">
        <v>110.35738369781612</v>
      </c>
      <c r="AI57" s="48">
        <v>110.45565447562021</v>
      </c>
      <c r="AJ57" s="48">
        <v>111.05112093274072</v>
      </c>
      <c r="AK57" s="48">
        <v>110.97018665339223</v>
      </c>
      <c r="AL57" s="48">
        <v>110.72283990978227</v>
      </c>
      <c r="AM57" s="48">
        <v>111.13245412630884</v>
      </c>
      <c r="AN57" s="48">
        <v>111.07109055230785</v>
      </c>
      <c r="AO57" s="48">
        <v>111.22887607768621</v>
      </c>
      <c r="AP57" s="48">
        <v>111.0974428617065</v>
      </c>
      <c r="AQ57" s="48">
        <v>110.91771790351598</v>
      </c>
      <c r="AR57" s="48">
        <v>111.57159728367779</v>
      </c>
      <c r="AS57" s="48">
        <v>112.21605045053508</v>
      </c>
      <c r="AT57" s="48">
        <v>113.23510492616191</v>
      </c>
      <c r="AU57" s="48">
        <v>113.36350552549382</v>
      </c>
      <c r="AV57" s="48">
        <v>112.99146932070164</v>
      </c>
      <c r="AW57" s="48">
        <v>113.20115346743047</v>
      </c>
      <c r="AX57" s="48">
        <v>113.4285430852227</v>
      </c>
      <c r="AY57" s="48">
        <v>113.4285430852227</v>
      </c>
      <c r="AZ57" s="48">
        <v>113.8159110908728</v>
      </c>
      <c r="BA57" s="48">
        <v>113.87356631493745</v>
      </c>
      <c r="BB57" s="48">
        <v>113.23645859685342</v>
      </c>
      <c r="BC57" s="48">
        <v>113.50403114428235</v>
      </c>
      <c r="BD57" s="48">
        <v>113.01333211744071</v>
      </c>
      <c r="BE57" s="48">
        <v>113.34263063746646</v>
      </c>
      <c r="BF57" s="48">
        <v>113.27452256194078</v>
      </c>
      <c r="BG57" s="48">
        <v>114.10039267768843</v>
      </c>
      <c r="BH57" s="48">
        <v>113.90513822748775</v>
      </c>
      <c r="BI57" s="48">
        <v>113.84606886852342</v>
      </c>
      <c r="BJ57" s="48">
        <v>113.93942838469204</v>
      </c>
      <c r="BK57" s="48">
        <v>114.54030570532406</v>
      </c>
      <c r="BL57" s="48">
        <v>113.6926557057445</v>
      </c>
      <c r="BM57" s="48">
        <v>114.39760542275272</v>
      </c>
      <c r="BN57" s="48">
        <v>114.43921670289539</v>
      </c>
      <c r="BO57" s="48">
        <v>114.61784390089204</v>
      </c>
      <c r="BP57" s="48">
        <v>114.42530770884363</v>
      </c>
      <c r="BQ57" s="48">
        <v>114.5633342876491</v>
      </c>
      <c r="BR57" s="48">
        <v>115.27200643313007</v>
      </c>
      <c r="BS57" s="48">
        <v>115.6062436103483</v>
      </c>
      <c r="BT57" s="48">
        <v>115.73008567553232</v>
      </c>
      <c r="BU57" s="48">
        <v>115.90143959730094</v>
      </c>
      <c r="BV57" s="48">
        <v>116.03286363154746</v>
      </c>
      <c r="BW57" s="48">
        <v>115.96656003800895</v>
      </c>
      <c r="BX57" s="48">
        <v>115.95283683662581</v>
      </c>
      <c r="BY57" s="48">
        <v>116.50390811133985</v>
      </c>
      <c r="BZ57" s="48">
        <v>117.51660776992367</v>
      </c>
      <c r="CA57" s="48">
        <v>117.3540196015132</v>
      </c>
      <c r="CB57" s="48">
        <v>119.30624317985918</v>
      </c>
      <c r="CC57" s="48">
        <v>120.14507863321197</v>
      </c>
      <c r="CD57" s="48">
        <v>120.67709338308875</v>
      </c>
      <c r="CE57" s="48">
        <v>121.01562595040596</v>
      </c>
      <c r="CF57" s="48">
        <v>120.72704937671448</v>
      </c>
      <c r="CG57" s="48">
        <v>120.95935345859051</v>
      </c>
      <c r="CH57" s="48">
        <v>121.8522526252988</v>
      </c>
      <c r="CI57" s="48">
        <v>121.80568811582368</v>
      </c>
      <c r="CJ57" s="48">
        <v>122.18875832655181</v>
      </c>
      <c r="CK57" s="48">
        <v>122.28545464841694</v>
      </c>
      <c r="CL57" s="48">
        <v>122.91003792689439</v>
      </c>
      <c r="CM57" s="48">
        <v>122.91003792689439</v>
      </c>
      <c r="CN57" s="48">
        <v>123.22834687483689</v>
      </c>
      <c r="CO57" s="48">
        <v>123.80889659461836</v>
      </c>
      <c r="CP57" s="48">
        <v>125.33610044879028</v>
      </c>
      <c r="CQ57" s="48">
        <v>125.48381208522041</v>
      </c>
      <c r="CR57" s="48">
        <v>125.51986464961436</v>
      </c>
      <c r="CS57" s="48">
        <v>129.28335235418436</v>
      </c>
      <c r="CT57" s="48">
        <v>130.30899372868004</v>
      </c>
      <c r="CU57" s="48">
        <v>130.01854179529226</v>
      </c>
      <c r="CV57" s="48">
        <v>130.01854179529226</v>
      </c>
      <c r="CW57" s="48">
        <v>130.01854179529226</v>
      </c>
      <c r="CX57" s="48">
        <v>130.01854179529226</v>
      </c>
      <c r="CY57" s="48">
        <v>130.1982387608883</v>
      </c>
      <c r="CZ57" s="48">
        <v>129.86438128577763</v>
      </c>
      <c r="DA57" s="48">
        <v>129.86438128577763</v>
      </c>
      <c r="DB57" s="48">
        <v>129.86438128577763</v>
      </c>
      <c r="DC57" s="48">
        <v>130.85208224362486</v>
      </c>
      <c r="DD57" s="48">
        <v>131.45883716839435</v>
      </c>
      <c r="DE57" s="48">
        <v>132.6281016613062</v>
      </c>
      <c r="DF57" s="48">
        <v>132.54583556716074</v>
      </c>
      <c r="DG57" s="48">
        <v>132.79103952181441</v>
      </c>
      <c r="DH57" s="48">
        <v>132.66699548906297</v>
      </c>
      <c r="DI57" s="48">
        <v>132.66699548906297</v>
      </c>
      <c r="DJ57" s="48">
        <v>132.05591345949054</v>
      </c>
      <c r="DK57" s="48">
        <v>132.53036460596161</v>
      </c>
      <c r="DL57" s="48">
        <v>132.53036460596161</v>
      </c>
      <c r="DM57" s="48">
        <v>132.62650410835712</v>
      </c>
      <c r="DN57" s="48">
        <v>132.62650410835712</v>
      </c>
      <c r="DO57" s="48">
        <v>132.62650410835712</v>
      </c>
      <c r="DP57" s="48">
        <v>132.63742171596652</v>
      </c>
      <c r="DQ57" s="48">
        <v>132.92867277605453</v>
      </c>
      <c r="DR57" s="48">
        <v>132.92867277605453</v>
      </c>
    </row>
    <row r="58" spans="1:122" s="42" customFormat="1" x14ac:dyDescent="0.35">
      <c r="B58" s="42">
        <v>310</v>
      </c>
      <c r="C58" s="37">
        <v>3100</v>
      </c>
      <c r="D58" s="40" t="s">
        <v>28</v>
      </c>
      <c r="E58" s="102">
        <v>91.576484518953094</v>
      </c>
      <c r="F58" s="41">
        <v>98.875896628375571</v>
      </c>
      <c r="G58" s="41">
        <v>99.03968785250315</v>
      </c>
      <c r="H58" s="41">
        <v>98.765057431065401</v>
      </c>
      <c r="I58" s="41">
        <v>98.747313975266422</v>
      </c>
      <c r="J58" s="41">
        <v>98.863075489091628</v>
      </c>
      <c r="K58" s="41">
        <v>99.751660270924248</v>
      </c>
      <c r="L58" s="41">
        <v>100.28223407828254</v>
      </c>
      <c r="M58" s="41">
        <v>100.76892711350321</v>
      </c>
      <c r="N58" s="41">
        <v>100.77666241339192</v>
      </c>
      <c r="O58" s="41">
        <v>101.44827566903226</v>
      </c>
      <c r="P58" s="41">
        <v>101.3406045392818</v>
      </c>
      <c r="Q58" s="41">
        <v>101.3406045392818</v>
      </c>
      <c r="R58" s="41">
        <v>102.83770857269963</v>
      </c>
      <c r="S58" s="41">
        <v>102.87127097215412</v>
      </c>
      <c r="T58" s="41">
        <v>102.7427391655086</v>
      </c>
      <c r="U58" s="41">
        <v>103.70770982236354</v>
      </c>
      <c r="V58" s="41">
        <v>104.34818437375905</v>
      </c>
      <c r="W58" s="41">
        <v>105.14592112780512</v>
      </c>
      <c r="X58" s="41">
        <v>105.2968836525711</v>
      </c>
      <c r="Y58" s="41">
        <v>106.97441158012049</v>
      </c>
      <c r="Z58" s="41">
        <v>108.09219271250785</v>
      </c>
      <c r="AA58" s="41">
        <v>107.81795827859568</v>
      </c>
      <c r="AB58" s="41">
        <v>108.15207804429761</v>
      </c>
      <c r="AC58" s="41">
        <v>108.66556113381543</v>
      </c>
      <c r="AD58" s="41">
        <v>108.78290138878695</v>
      </c>
      <c r="AE58" s="41">
        <v>109.58727418142205</v>
      </c>
      <c r="AF58" s="41">
        <v>109.77909866804437</v>
      </c>
      <c r="AG58" s="41">
        <v>109.72186229871825</v>
      </c>
      <c r="AH58" s="41">
        <v>110.35738369781612</v>
      </c>
      <c r="AI58" s="41">
        <v>110.45565447562021</v>
      </c>
      <c r="AJ58" s="41">
        <v>111.05112093274072</v>
      </c>
      <c r="AK58" s="41">
        <v>110.97018665339223</v>
      </c>
      <c r="AL58" s="41">
        <v>110.72283990978227</v>
      </c>
      <c r="AM58" s="41">
        <v>111.13245412630884</v>
      </c>
      <c r="AN58" s="41">
        <v>111.07109055230785</v>
      </c>
      <c r="AO58" s="41">
        <v>111.22887607768621</v>
      </c>
      <c r="AP58" s="41">
        <v>111.0974428617065</v>
      </c>
      <c r="AQ58" s="41">
        <v>110.91771790351598</v>
      </c>
      <c r="AR58" s="41">
        <v>111.57159728367779</v>
      </c>
      <c r="AS58" s="41">
        <v>112.21605045053508</v>
      </c>
      <c r="AT58" s="41">
        <v>113.23510492616191</v>
      </c>
      <c r="AU58" s="41">
        <v>113.36350552549382</v>
      </c>
      <c r="AV58" s="41">
        <v>112.99146932070164</v>
      </c>
      <c r="AW58" s="41">
        <v>113.20115346743047</v>
      </c>
      <c r="AX58" s="41">
        <v>113.4285430852227</v>
      </c>
      <c r="AY58" s="41">
        <v>113.4285430852227</v>
      </c>
      <c r="AZ58" s="41">
        <v>113.8159110908728</v>
      </c>
      <c r="BA58" s="41">
        <v>113.87356631493745</v>
      </c>
      <c r="BB58" s="41">
        <v>113.23645859685342</v>
      </c>
      <c r="BC58" s="41">
        <v>113.50403114428235</v>
      </c>
      <c r="BD58" s="41">
        <v>113.01333211744071</v>
      </c>
      <c r="BE58" s="41">
        <v>113.34263063746646</v>
      </c>
      <c r="BF58" s="41">
        <v>113.27452256194078</v>
      </c>
      <c r="BG58" s="41">
        <v>114.10039267768843</v>
      </c>
      <c r="BH58" s="41">
        <v>113.90513822748775</v>
      </c>
      <c r="BI58" s="41">
        <v>113.84606886852342</v>
      </c>
      <c r="BJ58" s="41">
        <v>113.93942838469204</v>
      </c>
      <c r="BK58" s="41">
        <v>114.54030570532406</v>
      </c>
      <c r="BL58" s="41">
        <v>113.6926557057445</v>
      </c>
      <c r="BM58" s="41">
        <v>114.39760542275272</v>
      </c>
      <c r="BN58" s="41">
        <v>114.43921670289539</v>
      </c>
      <c r="BO58" s="41">
        <v>114.61784390089204</v>
      </c>
      <c r="BP58" s="41">
        <v>114.42530770884363</v>
      </c>
      <c r="BQ58" s="41">
        <v>114.5633342876491</v>
      </c>
      <c r="BR58" s="41">
        <v>115.27200643313007</v>
      </c>
      <c r="BS58" s="41">
        <v>115.6062436103483</v>
      </c>
      <c r="BT58" s="41">
        <v>115.73008567553232</v>
      </c>
      <c r="BU58" s="41">
        <v>115.90143959730094</v>
      </c>
      <c r="BV58" s="41">
        <v>116.03286363154746</v>
      </c>
      <c r="BW58" s="41">
        <v>115.96656003800895</v>
      </c>
      <c r="BX58" s="41">
        <v>115.95283683662581</v>
      </c>
      <c r="BY58" s="41">
        <v>116.50390811133985</v>
      </c>
      <c r="BZ58" s="41">
        <v>117.51660776992367</v>
      </c>
      <c r="CA58" s="41">
        <v>117.3540196015132</v>
      </c>
      <c r="CB58" s="41">
        <v>119.30624317985918</v>
      </c>
      <c r="CC58" s="41">
        <v>120.14507863321197</v>
      </c>
      <c r="CD58" s="41">
        <v>120.67709338308875</v>
      </c>
      <c r="CE58" s="41">
        <v>121.01562595040596</v>
      </c>
      <c r="CF58" s="41">
        <v>120.72704937671448</v>
      </c>
      <c r="CG58" s="41">
        <v>120.95935345859051</v>
      </c>
      <c r="CH58" s="41">
        <v>121.8522526252988</v>
      </c>
      <c r="CI58" s="41">
        <v>121.80568811582368</v>
      </c>
      <c r="CJ58" s="41">
        <v>122.18875832655181</v>
      </c>
      <c r="CK58" s="41">
        <v>122.28545464841694</v>
      </c>
      <c r="CL58" s="41">
        <v>122.91003792689439</v>
      </c>
      <c r="CM58" s="41">
        <v>122.91003792689439</v>
      </c>
      <c r="CN58" s="41">
        <v>123.22834687483689</v>
      </c>
      <c r="CO58" s="41">
        <v>123.80889659461836</v>
      </c>
      <c r="CP58" s="41">
        <v>125.33610044879028</v>
      </c>
      <c r="CQ58" s="41">
        <v>125.48381208522041</v>
      </c>
      <c r="CR58" s="41">
        <v>125.51986464961436</v>
      </c>
      <c r="CS58" s="41">
        <v>129.28335235418436</v>
      </c>
      <c r="CT58" s="41">
        <v>130.30899372868004</v>
      </c>
      <c r="CU58" s="41">
        <v>130.01854179529226</v>
      </c>
      <c r="CV58" s="41">
        <v>130.01854179529226</v>
      </c>
      <c r="CW58" s="41">
        <v>130.01854179529226</v>
      </c>
      <c r="CX58" s="41">
        <v>130.01854179529226</v>
      </c>
      <c r="CY58" s="41">
        <v>130.1982387608883</v>
      </c>
      <c r="CZ58" s="41">
        <v>129.86438128577763</v>
      </c>
      <c r="DA58" s="41">
        <v>129.86438128577763</v>
      </c>
      <c r="DB58" s="41">
        <v>129.86438128577763</v>
      </c>
      <c r="DC58" s="41">
        <v>130.85208224362486</v>
      </c>
      <c r="DD58" s="41">
        <v>131.45883716839435</v>
      </c>
      <c r="DE58" s="41">
        <v>132.6281016613062</v>
      </c>
      <c r="DF58" s="41">
        <v>132.54583556716074</v>
      </c>
      <c r="DG58" s="41">
        <v>132.79103952181441</v>
      </c>
      <c r="DH58" s="41">
        <v>132.66699548906297</v>
      </c>
      <c r="DI58" s="41">
        <v>132.66699548906297</v>
      </c>
      <c r="DJ58" s="41">
        <v>132.05591345949054</v>
      </c>
      <c r="DK58" s="41">
        <v>132.53036460596161</v>
      </c>
      <c r="DL58" s="41">
        <v>132.53036460596161</v>
      </c>
      <c r="DM58" s="41">
        <v>132.62650410835712</v>
      </c>
      <c r="DN58" s="41">
        <v>132.62650410835712</v>
      </c>
      <c r="DO58" s="41">
        <v>132.62650410835712</v>
      </c>
      <c r="DP58" s="41">
        <v>132.63742171596652</v>
      </c>
      <c r="DQ58" s="41">
        <v>132.92867277605453</v>
      </c>
      <c r="DR58" s="41">
        <v>132.92867277605453</v>
      </c>
    </row>
    <row r="59" spans="1:122" x14ac:dyDescent="0.35">
      <c r="C59" s="46"/>
      <c r="E59" s="102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22" x14ac:dyDescent="0.35">
      <c r="C60" s="46"/>
      <c r="E60" s="102"/>
      <c r="F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22" s="62" customFormat="1" x14ac:dyDescent="0.35">
      <c r="C61" s="62" t="s">
        <v>125</v>
      </c>
      <c r="E61" s="102"/>
      <c r="F61" s="63"/>
      <c r="G61" s="4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</row>
    <row r="62" spans="1:122" s="6" customFormat="1" x14ac:dyDescent="0.35">
      <c r="A62" s="2"/>
      <c r="B62" s="2"/>
      <c r="C62" s="17"/>
      <c r="D62" s="3" t="s">
        <v>11</v>
      </c>
      <c r="E62" s="107"/>
      <c r="F62" s="5">
        <v>42552</v>
      </c>
      <c r="G62" s="5">
        <v>42583</v>
      </c>
      <c r="H62" s="5">
        <v>42614</v>
      </c>
      <c r="I62" s="5">
        <v>42644</v>
      </c>
      <c r="J62" s="5">
        <v>42675</v>
      </c>
      <c r="K62" s="5">
        <v>42705</v>
      </c>
      <c r="L62" s="5">
        <v>42736</v>
      </c>
      <c r="M62" s="5">
        <v>42767</v>
      </c>
      <c r="N62" s="5">
        <v>42795</v>
      </c>
      <c r="O62" s="5">
        <v>42826</v>
      </c>
      <c r="P62" s="5">
        <v>42856</v>
      </c>
      <c r="Q62" s="5">
        <v>42887</v>
      </c>
      <c r="R62" s="5">
        <v>42917</v>
      </c>
      <c r="S62" s="5">
        <v>42948</v>
      </c>
      <c r="T62" s="5">
        <v>42979</v>
      </c>
      <c r="U62" s="5">
        <v>43009</v>
      </c>
      <c r="V62" s="5">
        <v>43040</v>
      </c>
      <c r="W62" s="5">
        <v>43070</v>
      </c>
      <c r="X62" s="5">
        <v>43101</v>
      </c>
      <c r="Y62" s="5">
        <v>43132</v>
      </c>
      <c r="Z62" s="5">
        <v>43160</v>
      </c>
      <c r="AA62" s="5">
        <v>43191</v>
      </c>
      <c r="AB62" s="5">
        <v>43221</v>
      </c>
      <c r="AC62" s="5">
        <v>43252</v>
      </c>
      <c r="AD62" s="5">
        <v>43282</v>
      </c>
      <c r="AE62" s="5">
        <v>43313</v>
      </c>
      <c r="AF62" s="5">
        <v>43344</v>
      </c>
      <c r="AG62" s="5">
        <v>43374</v>
      </c>
      <c r="AH62" s="5">
        <v>43405</v>
      </c>
      <c r="AI62" s="5">
        <v>43435</v>
      </c>
      <c r="AJ62" s="5">
        <v>43466</v>
      </c>
      <c r="AK62" s="5">
        <v>43497</v>
      </c>
      <c r="AL62" s="5">
        <v>43525</v>
      </c>
      <c r="AM62" s="5">
        <v>43556</v>
      </c>
      <c r="AN62" s="5">
        <v>43586</v>
      </c>
      <c r="AO62" s="5">
        <v>43617</v>
      </c>
      <c r="AP62" s="5">
        <v>43647</v>
      </c>
      <c r="AQ62" s="5">
        <v>43678</v>
      </c>
      <c r="AR62" s="5">
        <v>43709</v>
      </c>
      <c r="AS62" s="5">
        <v>43739</v>
      </c>
      <c r="AT62" s="5">
        <v>43770</v>
      </c>
      <c r="AU62" s="5">
        <v>43800</v>
      </c>
      <c r="AV62" s="5">
        <v>43831</v>
      </c>
      <c r="AW62" s="5">
        <v>43862</v>
      </c>
      <c r="AX62" s="5">
        <v>43891</v>
      </c>
      <c r="AY62" s="5">
        <v>43922</v>
      </c>
      <c r="AZ62" s="5">
        <v>43952</v>
      </c>
      <c r="BA62" s="5">
        <v>43983</v>
      </c>
      <c r="BB62" s="5">
        <v>44013</v>
      </c>
      <c r="BC62" s="5">
        <v>44044</v>
      </c>
      <c r="BD62" s="5">
        <v>44075</v>
      </c>
      <c r="BE62" s="5">
        <v>44105</v>
      </c>
      <c r="BF62" s="5">
        <v>44136</v>
      </c>
      <c r="BG62" s="5">
        <v>44166</v>
      </c>
      <c r="BH62" s="5">
        <v>44197</v>
      </c>
      <c r="BI62" s="5">
        <v>44228</v>
      </c>
      <c r="BJ62" s="5">
        <v>44256</v>
      </c>
      <c r="BK62" s="5">
        <v>44287</v>
      </c>
      <c r="BL62" s="5">
        <v>44317</v>
      </c>
      <c r="BM62" s="5">
        <v>44348</v>
      </c>
      <c r="BN62" s="5">
        <v>44378</v>
      </c>
      <c r="BO62" s="5">
        <v>44409</v>
      </c>
      <c r="BP62" s="5">
        <v>44440</v>
      </c>
      <c r="BQ62" s="5">
        <v>44470</v>
      </c>
      <c r="BR62" s="5">
        <v>44501</v>
      </c>
      <c r="BS62" s="5">
        <v>44531</v>
      </c>
      <c r="BT62" s="5">
        <v>44562</v>
      </c>
      <c r="BU62" s="5">
        <v>44593</v>
      </c>
      <c r="BV62" s="5">
        <v>44621</v>
      </c>
      <c r="BW62" s="5">
        <v>44652</v>
      </c>
      <c r="BX62" s="5">
        <v>44682</v>
      </c>
      <c r="BY62" s="5">
        <v>44713</v>
      </c>
      <c r="BZ62" s="5">
        <v>44743</v>
      </c>
      <c r="CA62" s="5">
        <v>44774</v>
      </c>
      <c r="CB62" s="5">
        <v>44805</v>
      </c>
      <c r="CC62" s="5">
        <v>44835</v>
      </c>
      <c r="CD62" s="5">
        <v>44866</v>
      </c>
      <c r="CE62" s="5">
        <v>44896</v>
      </c>
      <c r="CF62" s="5">
        <v>44927</v>
      </c>
      <c r="CG62" s="5">
        <v>44958</v>
      </c>
      <c r="CH62" s="5">
        <v>44986</v>
      </c>
      <c r="CI62" s="5">
        <v>45017</v>
      </c>
      <c r="CJ62" s="5">
        <v>45047</v>
      </c>
      <c r="CK62" s="5">
        <v>45078</v>
      </c>
      <c r="CL62" s="5">
        <v>45108</v>
      </c>
      <c r="CM62" s="5">
        <v>45139</v>
      </c>
      <c r="CN62" s="5">
        <v>45170</v>
      </c>
      <c r="CO62" s="5">
        <v>45200</v>
      </c>
      <c r="CP62" s="5">
        <v>45231</v>
      </c>
      <c r="CQ62" s="5">
        <v>45261</v>
      </c>
      <c r="CR62" s="5">
        <v>45292</v>
      </c>
      <c r="CS62" s="5">
        <v>45323</v>
      </c>
      <c r="CT62" s="5">
        <v>45352</v>
      </c>
      <c r="CU62" s="5">
        <v>45383</v>
      </c>
      <c r="CV62" s="5">
        <v>45413</v>
      </c>
      <c r="CW62" s="5">
        <v>45444</v>
      </c>
      <c r="CX62" s="5">
        <v>45474</v>
      </c>
      <c r="CY62" s="5">
        <v>45505</v>
      </c>
      <c r="CZ62" s="5">
        <v>45536</v>
      </c>
      <c r="DA62" s="5">
        <v>45566</v>
      </c>
      <c r="DB62" s="5">
        <v>45597</v>
      </c>
      <c r="DC62" s="5">
        <v>45627</v>
      </c>
      <c r="DD62" s="5">
        <v>45658</v>
      </c>
      <c r="DE62" s="5">
        <v>45689</v>
      </c>
      <c r="DF62" s="5">
        <v>45717</v>
      </c>
      <c r="DG62" s="5">
        <v>45748</v>
      </c>
      <c r="DH62" s="5">
        <v>45778</v>
      </c>
      <c r="DI62" s="5">
        <v>45809</v>
      </c>
      <c r="DJ62" s="5">
        <v>45839</v>
      </c>
      <c r="DK62" s="5">
        <v>45870</v>
      </c>
      <c r="DL62" s="5">
        <v>45901</v>
      </c>
      <c r="DM62" s="5">
        <v>45931</v>
      </c>
      <c r="DN62" s="5">
        <v>45962</v>
      </c>
      <c r="DO62" s="5">
        <v>45992</v>
      </c>
      <c r="DP62" s="5">
        <v>46023</v>
      </c>
      <c r="DQ62" s="5">
        <v>46054</v>
      </c>
      <c r="DR62" s="5">
        <v>46082</v>
      </c>
    </row>
    <row r="63" spans="1:122" s="26" customFormat="1" x14ac:dyDescent="0.35">
      <c r="A63" s="21"/>
      <c r="B63" s="21"/>
      <c r="C63" s="21" t="s">
        <v>8</v>
      </c>
      <c r="D63" s="21" t="s">
        <v>8</v>
      </c>
      <c r="E63" s="100">
        <v>113.556008915267</v>
      </c>
      <c r="F63" s="23">
        <v>98.035425862084793</v>
      </c>
      <c r="G63" s="23">
        <v>98.027100081984827</v>
      </c>
      <c r="H63" s="23">
        <v>98.09250902946286</v>
      </c>
      <c r="I63" s="23">
        <v>98.642175126945574</v>
      </c>
      <c r="J63" s="23">
        <v>99.622181787836183</v>
      </c>
      <c r="K63" s="23">
        <v>100.04669230751985</v>
      </c>
      <c r="L63" s="23">
        <v>101.32707860410126</v>
      </c>
      <c r="M63" s="23">
        <v>101.18503987739307</v>
      </c>
      <c r="N63" s="23">
        <v>101.24802067341282</v>
      </c>
      <c r="O63" s="23">
        <v>101.27852262173808</v>
      </c>
      <c r="P63" s="23">
        <v>101.37042793690526</v>
      </c>
      <c r="Q63" s="23">
        <v>101.12482609061526</v>
      </c>
      <c r="R63" s="23">
        <v>101.51234412354324</v>
      </c>
      <c r="S63" s="23">
        <v>97.448616341311151</v>
      </c>
      <c r="T63" s="23">
        <v>97.440916065850587</v>
      </c>
      <c r="U63" s="23">
        <v>97.805371222309361</v>
      </c>
      <c r="V63" s="23">
        <v>97.811930597604814</v>
      </c>
      <c r="W63" s="23">
        <v>97.867255766771919</v>
      </c>
      <c r="X63" s="23">
        <v>98.44853644386157</v>
      </c>
      <c r="Y63" s="23">
        <v>98.502334126331561</v>
      </c>
      <c r="Z63" s="23">
        <v>98.610559114711833</v>
      </c>
      <c r="AA63" s="23">
        <v>98.874472294237805</v>
      </c>
      <c r="AB63" s="23">
        <v>99.194837501982562</v>
      </c>
      <c r="AC63" s="23">
        <v>100.17500271234407</v>
      </c>
      <c r="AD63" s="23">
        <v>101.46815489996649</v>
      </c>
      <c r="AE63" s="23">
        <v>101.56431997526589</v>
      </c>
      <c r="AF63" s="23">
        <v>101.98176443766764</v>
      </c>
      <c r="AG63" s="23">
        <v>101.87042934300946</v>
      </c>
      <c r="AH63" s="23">
        <v>101.74964044779392</v>
      </c>
      <c r="AI63" s="23">
        <v>101.51532335443889</v>
      </c>
      <c r="AJ63" s="23">
        <v>103.89123090139176</v>
      </c>
      <c r="AK63" s="23">
        <v>103.39370459808967</v>
      </c>
      <c r="AL63" s="23">
        <v>103.52351790318741</v>
      </c>
      <c r="AM63" s="23">
        <v>104.08327686790238</v>
      </c>
      <c r="AN63" s="23">
        <v>104.3122631594812</v>
      </c>
      <c r="AO63" s="23">
        <v>104.29938401966893</v>
      </c>
      <c r="AP63" s="23">
        <v>103.78848635367804</v>
      </c>
      <c r="AQ63" s="23">
        <v>103.96360074136234</v>
      </c>
      <c r="AR63" s="23">
        <v>103.72013220499792</v>
      </c>
      <c r="AS63" s="23">
        <v>104.19455592676003</v>
      </c>
      <c r="AT63" s="23">
        <v>103.64344964497131</v>
      </c>
      <c r="AU63" s="23">
        <v>103.39360321776235</v>
      </c>
      <c r="AV63" s="23">
        <v>103.92919077423176</v>
      </c>
      <c r="AW63" s="23">
        <v>104.14024037845236</v>
      </c>
      <c r="AX63" s="23">
        <v>104.76802898276078</v>
      </c>
      <c r="AY63" s="23">
        <v>105.46095478555421</v>
      </c>
      <c r="AZ63" s="23">
        <v>105.04356658811867</v>
      </c>
      <c r="BA63" s="23">
        <v>104.28397793659293</v>
      </c>
      <c r="BB63" s="23">
        <v>104.12612642102977</v>
      </c>
      <c r="BC63" s="23">
        <v>104.04892380381271</v>
      </c>
      <c r="BD63" s="23">
        <v>104.24192198738525</v>
      </c>
      <c r="BE63" s="23">
        <v>104.35480944070186</v>
      </c>
      <c r="BF63" s="23">
        <v>104.41079175471367</v>
      </c>
      <c r="BG63" s="23">
        <v>104.18297974803532</v>
      </c>
      <c r="BH63" s="23">
        <v>104.30451744041916</v>
      </c>
      <c r="BI63" s="23">
        <v>104.68825593374368</v>
      </c>
      <c r="BJ63" s="23">
        <v>104.18143834203357</v>
      </c>
      <c r="BK63" s="23">
        <v>104.20767035348811</v>
      </c>
      <c r="BL63" s="23">
        <v>103.45220319408931</v>
      </c>
      <c r="BM63" s="23">
        <v>104.4747530711896</v>
      </c>
      <c r="BN63" s="23">
        <v>104.44032483919241</v>
      </c>
      <c r="BO63" s="23">
        <v>104.27619443133104</v>
      </c>
      <c r="BP63" s="23">
        <v>104.52202171343181</v>
      </c>
      <c r="BQ63" s="23">
        <v>104.8289302508974</v>
      </c>
      <c r="BR63" s="23">
        <v>104.72808910676925</v>
      </c>
      <c r="BS63" s="23">
        <v>104.32799210921452</v>
      </c>
      <c r="BT63" s="23">
        <v>104.88072059252748</v>
      </c>
      <c r="BU63" s="23">
        <v>104.98508809425003</v>
      </c>
      <c r="BV63" s="23">
        <v>105.77648761400377</v>
      </c>
      <c r="BW63" s="23">
        <v>105.44934034373539</v>
      </c>
      <c r="BX63" s="23">
        <v>106.18208490496198</v>
      </c>
      <c r="BY63" s="23">
        <v>107.08441045294919</v>
      </c>
      <c r="BZ63" s="23">
        <v>110.09817436445844</v>
      </c>
      <c r="CA63" s="23">
        <v>110.41857645442002</v>
      </c>
      <c r="CB63" s="23">
        <v>110.36283490662551</v>
      </c>
      <c r="CC63" s="23">
        <v>111.40524750344339</v>
      </c>
      <c r="CD63" s="23">
        <v>110.90822407401427</v>
      </c>
      <c r="CE63" s="23">
        <v>110.3479159359763</v>
      </c>
      <c r="CF63" s="23">
        <v>111.07781574096899</v>
      </c>
      <c r="CG63" s="23">
        <v>111.01295490097421</v>
      </c>
      <c r="CH63" s="23">
        <v>111.4944910920081</v>
      </c>
      <c r="CI63" s="23">
        <v>112.15387624109408</v>
      </c>
      <c r="CJ63" s="23">
        <v>112.01954808003561</v>
      </c>
      <c r="CK63" s="23">
        <v>111.83935421499272</v>
      </c>
      <c r="CL63" s="23">
        <v>115.26365533418128</v>
      </c>
      <c r="CM63" s="23">
        <v>115.91275210678431</v>
      </c>
      <c r="CN63" s="23">
        <v>116.73192826072257</v>
      </c>
      <c r="CO63" s="23">
        <v>117.30009701611401</v>
      </c>
      <c r="CP63" s="23">
        <v>117.51728669429983</v>
      </c>
      <c r="CQ63" s="23">
        <v>118.82146419769064</v>
      </c>
      <c r="CR63" s="23">
        <v>119.02592753717171</v>
      </c>
      <c r="CS63" s="23">
        <v>119.59769351268832</v>
      </c>
      <c r="CT63" s="23">
        <v>119.78176926669504</v>
      </c>
      <c r="CU63" s="23">
        <v>119.1736236689451</v>
      </c>
      <c r="CV63" s="23">
        <v>118.91165338725827</v>
      </c>
      <c r="CW63" s="23">
        <v>118.63561720041731</v>
      </c>
      <c r="CX63" s="23">
        <v>118.28547258385052</v>
      </c>
      <c r="CY63" s="23">
        <v>119.26753269641861</v>
      </c>
      <c r="CZ63" s="23">
        <v>119.16293324803128</v>
      </c>
      <c r="DA63" s="23">
        <v>115.75352785944314</v>
      </c>
      <c r="DB63" s="23">
        <v>115.84022333706396</v>
      </c>
      <c r="DC63" s="23">
        <v>115.37427259010313</v>
      </c>
      <c r="DD63" s="23">
        <v>115.74952823338211</v>
      </c>
      <c r="DE63" s="23">
        <v>115.57988056005561</v>
      </c>
      <c r="DF63" s="23">
        <v>115.61941651506544</v>
      </c>
      <c r="DG63" s="23">
        <v>115.72828894709251</v>
      </c>
      <c r="DH63" s="23">
        <v>115.55253932608387</v>
      </c>
      <c r="DI63" s="23">
        <v>114.83164361265641</v>
      </c>
      <c r="DJ63" s="23">
        <v>114.81326192061813</v>
      </c>
      <c r="DK63" s="23">
        <v>114.47012927826334</v>
      </c>
      <c r="DL63" s="23">
        <v>113.61932720117298</v>
      </c>
      <c r="DM63" s="23">
        <v>112.95321988224683</v>
      </c>
      <c r="DN63" s="23">
        <v>114.64006783548268</v>
      </c>
      <c r="DO63" s="23">
        <v>114.88161446086467</v>
      </c>
      <c r="DP63" s="23">
        <v>114.68326939248641</v>
      </c>
      <c r="DQ63" s="23">
        <v>114.77550928967</v>
      </c>
      <c r="DR63" s="23">
        <v>117.23567103042006</v>
      </c>
    </row>
    <row r="64" spans="1:122" s="26" customFormat="1" ht="27" customHeight="1" x14ac:dyDescent="0.35">
      <c r="A64" s="27">
        <v>35</v>
      </c>
      <c r="B64" s="27"/>
      <c r="C64" s="27"/>
      <c r="D64" s="29" t="s">
        <v>126</v>
      </c>
      <c r="E64" s="103">
        <v>52.067266036445503</v>
      </c>
      <c r="F64" s="48">
        <v>95.715365616400035</v>
      </c>
      <c r="G64" s="48">
        <v>95.697207521473445</v>
      </c>
      <c r="H64" s="48">
        <v>95.839861046199616</v>
      </c>
      <c r="I64" s="48">
        <v>97.038654319164579</v>
      </c>
      <c r="J64" s="48">
        <v>99.175998059149265</v>
      </c>
      <c r="K64" s="48">
        <v>100.10183350294</v>
      </c>
      <c r="L64" s="48">
        <v>102.89428966162926</v>
      </c>
      <c r="M64" s="48">
        <v>102.58451055962881</v>
      </c>
      <c r="N64" s="48">
        <v>102.72186841185989</v>
      </c>
      <c r="O64" s="48">
        <v>102.7883915804382</v>
      </c>
      <c r="P64" s="48">
        <v>102.98883230995874</v>
      </c>
      <c r="Q64" s="48">
        <v>102.45318741115818</v>
      </c>
      <c r="R64" s="48">
        <v>102.90637839564057</v>
      </c>
      <c r="S64" s="48">
        <v>103.03676116186998</v>
      </c>
      <c r="T64" s="48">
        <v>103.01996726014606</v>
      </c>
      <c r="U64" s="48">
        <v>103.81482506902501</v>
      </c>
      <c r="V64" s="48">
        <v>103.82913072661435</v>
      </c>
      <c r="W64" s="48">
        <v>103.94979205342148</v>
      </c>
      <c r="X64" s="48">
        <v>105.21753508612964</v>
      </c>
      <c r="Y64" s="48">
        <v>105.33486504361014</v>
      </c>
      <c r="Z64" s="48">
        <v>105.57089813466513</v>
      </c>
      <c r="AA64" s="48">
        <v>106.14647910229517</v>
      </c>
      <c r="AB64" s="48">
        <v>106.84517901792621</v>
      </c>
      <c r="AC64" s="48">
        <v>108.98286854609037</v>
      </c>
      <c r="AD64" s="48">
        <v>108.52175057577239</v>
      </c>
      <c r="AE64" s="48">
        <v>108.11012603907136</v>
      </c>
      <c r="AF64" s="48">
        <v>109.02055077811839</v>
      </c>
      <c r="AG64" s="48">
        <v>108.777734706448</v>
      </c>
      <c r="AH64" s="48">
        <v>108.51430038569146</v>
      </c>
      <c r="AI64" s="48">
        <v>108.00326694822621</v>
      </c>
      <c r="AJ64" s="48">
        <v>113.18499818018259</v>
      </c>
      <c r="AK64" s="48">
        <v>112.0999190962567</v>
      </c>
      <c r="AL64" s="48">
        <v>112.38303518728939</v>
      </c>
      <c r="AM64" s="48">
        <v>113.60384048063975</v>
      </c>
      <c r="AN64" s="48">
        <v>114.10324771569215</v>
      </c>
      <c r="AO64" s="48">
        <v>114.07515897920423</v>
      </c>
      <c r="AP64" s="48">
        <v>112.96091764620547</v>
      </c>
      <c r="AQ64" s="48">
        <v>113.34283305069687</v>
      </c>
      <c r="AR64" s="48">
        <v>112.8118407902883</v>
      </c>
      <c r="AS64" s="48">
        <v>113.84653434113312</v>
      </c>
      <c r="AT64" s="48">
        <v>112.64460010083225</v>
      </c>
      <c r="AU64" s="48">
        <v>112.09969799101665</v>
      </c>
      <c r="AV64" s="48">
        <v>113.26778669563147</v>
      </c>
      <c r="AW64" s="48">
        <v>113.72807494509829</v>
      </c>
      <c r="AX64" s="48">
        <v>115.09724935686498</v>
      </c>
      <c r="AY64" s="48">
        <v>116.60848462288706</v>
      </c>
      <c r="AZ64" s="48">
        <v>115.69818259481546</v>
      </c>
      <c r="BA64" s="48">
        <v>113.98506527183703</v>
      </c>
      <c r="BB64" s="48">
        <v>113.64079929681864</v>
      </c>
      <c r="BC64" s="48">
        <v>113.47242438958139</v>
      </c>
      <c r="BD64" s="48">
        <v>113.89334342610339</v>
      </c>
      <c r="BE64" s="48">
        <v>114.13954511155906</v>
      </c>
      <c r="BF64" s="48">
        <v>114.26163963721696</v>
      </c>
      <c r="BG64" s="48">
        <v>113.76479345667687</v>
      </c>
      <c r="BH64" s="48">
        <v>114.02986086525219</v>
      </c>
      <c r="BI64" s="48">
        <v>114.86677463250446</v>
      </c>
      <c r="BJ64" s="48">
        <v>113.76143173006818</v>
      </c>
      <c r="BK64" s="48">
        <v>113.81864238761476</v>
      </c>
      <c r="BL64" s="48">
        <v>112.1710076639511</v>
      </c>
      <c r="BM64" s="48">
        <v>114.40113595374888</v>
      </c>
      <c r="BN64" s="48">
        <v>114.32604976395598</v>
      </c>
      <c r="BO64" s="48">
        <v>113.96808985022965</v>
      </c>
      <c r="BP64" s="48">
        <v>114.50422641285064</v>
      </c>
      <c r="BQ64" s="48">
        <v>115.17357802797514</v>
      </c>
      <c r="BR64" s="48">
        <v>114.95364871857709</v>
      </c>
      <c r="BS64" s="48">
        <v>114.08105790135431</v>
      </c>
      <c r="BT64" s="48">
        <v>115.28653007911134</v>
      </c>
      <c r="BU64" s="48">
        <v>115.51415019167449</v>
      </c>
      <c r="BV64" s="48">
        <v>117.24015153113005</v>
      </c>
      <c r="BW64" s="48">
        <v>116.52666028860544</v>
      </c>
      <c r="BX64" s="48">
        <v>118.12473820322107</v>
      </c>
      <c r="BY64" s="48">
        <v>120.09266346167401</v>
      </c>
      <c r="BZ64" s="48">
        <v>121.89398700598406</v>
      </c>
      <c r="CA64" s="48">
        <v>122.59276735981865</v>
      </c>
      <c r="CB64" s="48">
        <v>122.47119793280331</v>
      </c>
      <c r="CC64" s="48">
        <v>124.74464578494869</v>
      </c>
      <c r="CD64" s="48">
        <v>123.66066344287903</v>
      </c>
      <c r="CE64" s="48">
        <v>122.43866043097131</v>
      </c>
      <c r="CF64" s="48">
        <v>124.03053407966615</v>
      </c>
      <c r="CG64" s="48">
        <v>123.88907594895609</v>
      </c>
      <c r="CH64" s="48">
        <v>124.93928142668933</v>
      </c>
      <c r="CI64" s="48">
        <v>126.37736626517095</v>
      </c>
      <c r="CJ64" s="48">
        <v>126.0844035072637</v>
      </c>
      <c r="CK64" s="48">
        <v>125.69141002588975</v>
      </c>
      <c r="CL64" s="48">
        <v>124.84716863438307</v>
      </c>
      <c r="CM64" s="48">
        <v>125.35354936906218</v>
      </c>
      <c r="CN64" s="48">
        <v>126.23695750574456</v>
      </c>
      <c r="CO64" s="48">
        <v>126.55378759593161</v>
      </c>
      <c r="CP64" s="48">
        <v>127.0274670285162</v>
      </c>
      <c r="CQ64" s="48">
        <v>129.87181057631213</v>
      </c>
      <c r="CR64" s="48">
        <v>130.31773452370561</v>
      </c>
      <c r="CS64" s="48">
        <v>131.56472648536845</v>
      </c>
      <c r="CT64" s="48">
        <v>131.96618616539931</v>
      </c>
      <c r="CU64" s="48">
        <v>130.63985213296644</v>
      </c>
      <c r="CV64" s="48">
        <v>130.06850852483572</v>
      </c>
      <c r="CW64" s="48">
        <v>129.46648790650895</v>
      </c>
      <c r="CX64" s="48">
        <v>128.70284064351145</v>
      </c>
      <c r="CY64" s="48">
        <v>129.03203264777989</v>
      </c>
      <c r="CZ64" s="48">
        <v>128.80390667156115</v>
      </c>
      <c r="DA64" s="48">
        <v>121.3681702065185</v>
      </c>
      <c r="DB64" s="48">
        <v>121.55724855034263</v>
      </c>
      <c r="DC64" s="48">
        <v>120.54103411843984</v>
      </c>
      <c r="DD64" s="48">
        <v>121.35944722935417</v>
      </c>
      <c r="DE64" s="48">
        <v>120.98945444557265</v>
      </c>
      <c r="DF64" s="48">
        <v>121.07568031455578</v>
      </c>
      <c r="DG64" s="48">
        <v>121.31312544665164</v>
      </c>
      <c r="DH64" s="48">
        <v>120.77707952460521</v>
      </c>
      <c r="DI64" s="48">
        <v>119.20484333299021</v>
      </c>
      <c r="DJ64" s="48">
        <v>118.56771596436569</v>
      </c>
      <c r="DK64" s="48">
        <v>117.81936145373929</v>
      </c>
      <c r="DL64" s="48">
        <v>115.96380621518358</v>
      </c>
      <c r="DM64" s="48">
        <v>114.51106067264719</v>
      </c>
      <c r="DN64" s="48">
        <v>118.18998864021648</v>
      </c>
      <c r="DO64" s="48">
        <v>118.19292672691653</v>
      </c>
      <c r="DP64" s="48">
        <v>117.76034641172785</v>
      </c>
      <c r="DQ64" s="48">
        <v>117.96151684728694</v>
      </c>
      <c r="DR64" s="48">
        <v>123.32700210956409</v>
      </c>
    </row>
    <row r="65" spans="1:122" s="42" customFormat="1" x14ac:dyDescent="0.35">
      <c r="B65" s="42">
        <v>351</v>
      </c>
      <c r="C65" s="37">
        <v>3510</v>
      </c>
      <c r="D65" s="40" t="s">
        <v>127</v>
      </c>
      <c r="E65" s="102">
        <v>52.067266036445503</v>
      </c>
      <c r="F65" s="41">
        <v>95.715365616400035</v>
      </c>
      <c r="G65" s="41">
        <v>95.697207521473445</v>
      </c>
      <c r="H65" s="41">
        <v>95.839861046199616</v>
      </c>
      <c r="I65" s="41">
        <v>97.038654319164579</v>
      </c>
      <c r="J65" s="41">
        <v>99.175998059149265</v>
      </c>
      <c r="K65" s="41">
        <v>100.10183350294</v>
      </c>
      <c r="L65" s="41">
        <v>102.89428966162926</v>
      </c>
      <c r="M65" s="41">
        <v>102.58451055962881</v>
      </c>
      <c r="N65" s="41">
        <v>102.72186841185989</v>
      </c>
      <c r="O65" s="41">
        <v>102.7883915804382</v>
      </c>
      <c r="P65" s="41">
        <v>102.98883230995874</v>
      </c>
      <c r="Q65" s="41">
        <v>102.45318741115818</v>
      </c>
      <c r="R65" s="41">
        <v>102.90637839564057</v>
      </c>
      <c r="S65" s="41">
        <v>103.03676116186998</v>
      </c>
      <c r="T65" s="41">
        <v>103.01996726014606</v>
      </c>
      <c r="U65" s="41">
        <v>103.81482506902501</v>
      </c>
      <c r="V65" s="41">
        <v>103.82913072661435</v>
      </c>
      <c r="W65" s="41">
        <v>103.94979205342148</v>
      </c>
      <c r="X65" s="41">
        <v>105.21753508612964</v>
      </c>
      <c r="Y65" s="41">
        <v>105.33486504361014</v>
      </c>
      <c r="Z65" s="41">
        <v>105.57089813466513</v>
      </c>
      <c r="AA65" s="41">
        <v>106.14647910229517</v>
      </c>
      <c r="AB65" s="41">
        <v>106.84517901792621</v>
      </c>
      <c r="AC65" s="41">
        <v>108.98286854609037</v>
      </c>
      <c r="AD65" s="41">
        <v>108.52175057577239</v>
      </c>
      <c r="AE65" s="41">
        <v>108.11012603907136</v>
      </c>
      <c r="AF65" s="41">
        <v>109.02055077811839</v>
      </c>
      <c r="AG65" s="41">
        <v>108.777734706448</v>
      </c>
      <c r="AH65" s="41">
        <v>108.51430038569146</v>
      </c>
      <c r="AI65" s="41">
        <v>108.00326694822621</v>
      </c>
      <c r="AJ65" s="41">
        <v>113.18499818018259</v>
      </c>
      <c r="AK65" s="41">
        <v>112.0999190962567</v>
      </c>
      <c r="AL65" s="41">
        <v>112.38303518728939</v>
      </c>
      <c r="AM65" s="41">
        <v>113.60384048063975</v>
      </c>
      <c r="AN65" s="41">
        <v>114.10324771569215</v>
      </c>
      <c r="AO65" s="41">
        <v>114.07515897920423</v>
      </c>
      <c r="AP65" s="41">
        <v>112.96091764620547</v>
      </c>
      <c r="AQ65" s="41">
        <v>113.34283305069687</v>
      </c>
      <c r="AR65" s="41">
        <v>112.8118407902883</v>
      </c>
      <c r="AS65" s="41">
        <v>113.84653434113312</v>
      </c>
      <c r="AT65" s="41">
        <v>112.64460010083225</v>
      </c>
      <c r="AU65" s="41">
        <v>112.09969799101665</v>
      </c>
      <c r="AV65" s="41">
        <v>113.26778669563147</v>
      </c>
      <c r="AW65" s="41">
        <v>113.72807494509829</v>
      </c>
      <c r="AX65" s="41">
        <v>115.09724935686498</v>
      </c>
      <c r="AY65" s="41">
        <v>116.60848462288706</v>
      </c>
      <c r="AZ65" s="41">
        <v>115.69818259481546</v>
      </c>
      <c r="BA65" s="41">
        <v>113.98506527183703</v>
      </c>
      <c r="BB65" s="41">
        <v>113.64079929681864</v>
      </c>
      <c r="BC65" s="41">
        <v>113.47242438958139</v>
      </c>
      <c r="BD65" s="41">
        <v>113.89334342610339</v>
      </c>
      <c r="BE65" s="41">
        <v>114.13954511155906</v>
      </c>
      <c r="BF65" s="41">
        <v>114.26163963721696</v>
      </c>
      <c r="BG65" s="41">
        <v>113.76479345667687</v>
      </c>
      <c r="BH65" s="41">
        <v>114.02986086525219</v>
      </c>
      <c r="BI65" s="41">
        <v>114.86677463250446</v>
      </c>
      <c r="BJ65" s="41">
        <v>113.76143173006818</v>
      </c>
      <c r="BK65" s="41">
        <v>113.81864238761476</v>
      </c>
      <c r="BL65" s="41">
        <v>112.1710076639511</v>
      </c>
      <c r="BM65" s="41">
        <v>114.40113595374888</v>
      </c>
      <c r="BN65" s="41">
        <v>114.32604976395598</v>
      </c>
      <c r="BO65" s="41">
        <v>113.96808985022965</v>
      </c>
      <c r="BP65" s="41">
        <v>114.50422641285064</v>
      </c>
      <c r="BQ65" s="41">
        <v>115.17357802797514</v>
      </c>
      <c r="BR65" s="41">
        <v>114.95364871857709</v>
      </c>
      <c r="BS65" s="41">
        <v>114.08105790135431</v>
      </c>
      <c r="BT65" s="41">
        <v>115.28653007911134</v>
      </c>
      <c r="BU65" s="41">
        <v>115.51415019167449</v>
      </c>
      <c r="BV65" s="41">
        <v>117.24015153113005</v>
      </c>
      <c r="BW65" s="41">
        <v>116.52666028860544</v>
      </c>
      <c r="BX65" s="41">
        <v>118.12473820322107</v>
      </c>
      <c r="BY65" s="41">
        <v>120.09266346167401</v>
      </c>
      <c r="BZ65" s="41">
        <v>121.89398700598406</v>
      </c>
      <c r="CA65" s="41">
        <v>122.59276735981865</v>
      </c>
      <c r="CB65" s="41">
        <v>122.47119793280331</v>
      </c>
      <c r="CC65" s="41">
        <v>124.74464578494869</v>
      </c>
      <c r="CD65" s="41">
        <v>123.66066344287903</v>
      </c>
      <c r="CE65" s="41">
        <v>122.43866043097131</v>
      </c>
      <c r="CF65" s="41">
        <v>124.03053407966615</v>
      </c>
      <c r="CG65" s="41">
        <v>123.88907594895609</v>
      </c>
      <c r="CH65" s="41">
        <v>124.93928142668933</v>
      </c>
      <c r="CI65" s="41">
        <v>126.37736626517095</v>
      </c>
      <c r="CJ65" s="41">
        <v>126.0844035072637</v>
      </c>
      <c r="CK65" s="41">
        <v>125.69141002588975</v>
      </c>
      <c r="CL65" s="41">
        <v>124.84716863438307</v>
      </c>
      <c r="CM65" s="41">
        <v>125.35354936906218</v>
      </c>
      <c r="CN65" s="41">
        <v>126.23695750574456</v>
      </c>
      <c r="CO65" s="41">
        <v>126.55378759593161</v>
      </c>
      <c r="CP65" s="41">
        <v>127.0274670285162</v>
      </c>
      <c r="CQ65" s="41">
        <v>129.87181057631213</v>
      </c>
      <c r="CR65" s="41">
        <v>130.31773452370561</v>
      </c>
      <c r="CS65" s="41">
        <v>131.56472648536845</v>
      </c>
      <c r="CT65" s="41">
        <v>131.96618616539931</v>
      </c>
      <c r="CU65" s="41">
        <v>130.63985213296644</v>
      </c>
      <c r="CV65" s="41">
        <v>130.06850852483572</v>
      </c>
      <c r="CW65" s="41">
        <v>129.46648790650895</v>
      </c>
      <c r="CX65" s="41">
        <v>128.70284064351145</v>
      </c>
      <c r="CY65" s="41">
        <v>129.03203264777989</v>
      </c>
      <c r="CZ65" s="41">
        <v>128.80390667156115</v>
      </c>
      <c r="DA65" s="41">
        <v>121.3681702065185</v>
      </c>
      <c r="DB65" s="41">
        <v>121.55724855034263</v>
      </c>
      <c r="DC65" s="41">
        <v>120.54103411843984</v>
      </c>
      <c r="DD65" s="41">
        <v>121.35944722935417</v>
      </c>
      <c r="DE65" s="41">
        <v>120.98945444557265</v>
      </c>
      <c r="DF65" s="41">
        <v>121.07568031455578</v>
      </c>
      <c r="DG65" s="41">
        <v>121.31312544665164</v>
      </c>
      <c r="DH65" s="41">
        <v>120.77707952460521</v>
      </c>
      <c r="DI65" s="41">
        <v>119.20484333299021</v>
      </c>
      <c r="DJ65" s="41">
        <v>118.56771596436569</v>
      </c>
      <c r="DK65" s="41">
        <v>117.81936145373929</v>
      </c>
      <c r="DL65" s="41">
        <v>115.96380621518358</v>
      </c>
      <c r="DM65" s="41">
        <v>114.51106067264719</v>
      </c>
      <c r="DN65" s="41">
        <v>118.18998864021648</v>
      </c>
      <c r="DO65" s="41">
        <v>118.19292672691653</v>
      </c>
      <c r="DP65" s="41">
        <v>117.76034641172785</v>
      </c>
      <c r="DQ65" s="41">
        <v>117.96151684728694</v>
      </c>
      <c r="DR65" s="41">
        <v>123.32700210956409</v>
      </c>
    </row>
    <row r="66" spans="1:122" x14ac:dyDescent="0.35">
      <c r="A66" s="44">
        <v>36</v>
      </c>
      <c r="B66" s="44"/>
      <c r="C66" s="44"/>
      <c r="D66" s="45" t="s">
        <v>30</v>
      </c>
      <c r="E66" s="103">
        <v>54.540485677508798</v>
      </c>
      <c r="F66" s="48">
        <v>100</v>
      </c>
      <c r="G66" s="48">
        <v>100</v>
      </c>
      <c r="H66" s="48">
        <v>100</v>
      </c>
      <c r="I66" s="48">
        <v>100</v>
      </c>
      <c r="J66" s="48">
        <v>100</v>
      </c>
      <c r="K66" s="48">
        <v>100</v>
      </c>
      <c r="L66" s="48">
        <v>100</v>
      </c>
      <c r="M66" s="48">
        <v>100</v>
      </c>
      <c r="N66" s="48">
        <v>100</v>
      </c>
      <c r="O66" s="48">
        <v>100</v>
      </c>
      <c r="P66" s="48">
        <v>100</v>
      </c>
      <c r="Q66" s="48">
        <v>100</v>
      </c>
      <c r="R66" s="48">
        <v>100</v>
      </c>
      <c r="S66" s="48">
        <v>92.176033961080691</v>
      </c>
      <c r="T66" s="48">
        <v>92.176033961080691</v>
      </c>
      <c r="U66" s="48">
        <v>92.176033961080691</v>
      </c>
      <c r="V66" s="48">
        <v>92.176033961080691</v>
      </c>
      <c r="W66" s="48">
        <v>92.176033961080691</v>
      </c>
      <c r="X66" s="48">
        <v>92.176033961080691</v>
      </c>
      <c r="Y66" s="48">
        <v>92.176033961080691</v>
      </c>
      <c r="Z66" s="48">
        <v>92.176033961080691</v>
      </c>
      <c r="AA66" s="48">
        <v>92.176033961080691</v>
      </c>
      <c r="AB66" s="48">
        <v>92.176033961080691</v>
      </c>
      <c r="AC66" s="48">
        <v>92.176033961080691</v>
      </c>
      <c r="AD66" s="48">
        <v>95.0304775710201</v>
      </c>
      <c r="AE66" s="48">
        <v>95.571030927601711</v>
      </c>
      <c r="AF66" s="48">
        <v>95.571030927601711</v>
      </c>
      <c r="AG66" s="48">
        <v>95.571030927601711</v>
      </c>
      <c r="AH66" s="48">
        <v>95.571030927601711</v>
      </c>
      <c r="AI66" s="48">
        <v>95.571030927601711</v>
      </c>
      <c r="AJ66" s="48">
        <v>95.571030927601711</v>
      </c>
      <c r="AK66" s="48">
        <v>95.571030927601711</v>
      </c>
      <c r="AL66" s="48">
        <v>95.571030927601711</v>
      </c>
      <c r="AM66" s="48">
        <v>95.571030927601711</v>
      </c>
      <c r="AN66" s="48">
        <v>95.571030927601711</v>
      </c>
      <c r="AO66" s="48">
        <v>95.571030927601711</v>
      </c>
      <c r="AP66" s="48">
        <v>95.571030927601711</v>
      </c>
      <c r="AQ66" s="48">
        <v>95.571030927601711</v>
      </c>
      <c r="AR66" s="48">
        <v>95.571030927601711</v>
      </c>
      <c r="AS66" s="48">
        <v>95.571030927601711</v>
      </c>
      <c r="AT66" s="48">
        <v>95.571030927601711</v>
      </c>
      <c r="AU66" s="48">
        <v>95.571030927601711</v>
      </c>
      <c r="AV66" s="48">
        <v>95.571030927601711</v>
      </c>
      <c r="AW66" s="48">
        <v>95.571030927601711</v>
      </c>
      <c r="AX66" s="48">
        <v>95.571030927601711</v>
      </c>
      <c r="AY66" s="48">
        <v>95.571030927601711</v>
      </c>
      <c r="AZ66" s="48">
        <v>95.571030927601711</v>
      </c>
      <c r="BA66" s="48">
        <v>95.571030927601711</v>
      </c>
      <c r="BB66" s="48">
        <v>95.571030927601711</v>
      </c>
      <c r="BC66" s="48">
        <v>95.571030927601711</v>
      </c>
      <c r="BD66" s="48">
        <v>95.571030927601711</v>
      </c>
      <c r="BE66" s="48">
        <v>95.571030927601711</v>
      </c>
      <c r="BF66" s="48">
        <v>95.571030927601711</v>
      </c>
      <c r="BG66" s="48">
        <v>95.571030927601711</v>
      </c>
      <c r="BH66" s="48">
        <v>95.571030927601711</v>
      </c>
      <c r="BI66" s="48">
        <v>95.571030927601711</v>
      </c>
      <c r="BJ66" s="48">
        <v>95.571030927601711</v>
      </c>
      <c r="BK66" s="48">
        <v>95.571030927601711</v>
      </c>
      <c r="BL66" s="48">
        <v>95.571030927601711</v>
      </c>
      <c r="BM66" s="48">
        <v>95.571030927601711</v>
      </c>
      <c r="BN66" s="48">
        <v>95.571030927601711</v>
      </c>
      <c r="BO66" s="48">
        <v>95.571030927601711</v>
      </c>
      <c r="BP66" s="48">
        <v>95.571030927601711</v>
      </c>
      <c r="BQ66" s="48">
        <v>95.571030927601711</v>
      </c>
      <c r="BR66" s="48">
        <v>95.571030927601711</v>
      </c>
      <c r="BS66" s="48">
        <v>95.571030927601711</v>
      </c>
      <c r="BT66" s="48">
        <v>95.571030927601711</v>
      </c>
      <c r="BU66" s="48">
        <v>95.571030927601711</v>
      </c>
      <c r="BV66" s="48">
        <v>95.571030927601711</v>
      </c>
      <c r="BW66" s="48">
        <v>95.571030927601711</v>
      </c>
      <c r="BX66" s="48">
        <v>95.571030927601711</v>
      </c>
      <c r="BY66" s="48">
        <v>95.571030927601711</v>
      </c>
      <c r="BZ66" s="48">
        <v>100.12619772376028</v>
      </c>
      <c r="CA66" s="48">
        <v>100.12619772376028</v>
      </c>
      <c r="CB66" s="48">
        <v>100.12619772376028</v>
      </c>
      <c r="CC66" s="48">
        <v>100.12619772376028</v>
      </c>
      <c r="CD66" s="48">
        <v>100.12619772376028</v>
      </c>
      <c r="CE66" s="48">
        <v>100.12619772376028</v>
      </c>
      <c r="CF66" s="48">
        <v>100.12619772376028</v>
      </c>
      <c r="CG66" s="48">
        <v>100.12619772376028</v>
      </c>
      <c r="CH66" s="48">
        <v>100.12619772376028</v>
      </c>
      <c r="CI66" s="48">
        <v>100.12619772376028</v>
      </c>
      <c r="CJ66" s="48">
        <v>100.12619772376028</v>
      </c>
      <c r="CK66" s="48">
        <v>100.12619772376028</v>
      </c>
      <c r="CL66" s="48">
        <v>108.06172129259735</v>
      </c>
      <c r="CM66" s="48">
        <v>108.92975497216976</v>
      </c>
      <c r="CN66" s="48">
        <v>109.7919718663581</v>
      </c>
      <c r="CO66" s="48">
        <v>110.67246456938308</v>
      </c>
      <c r="CP66" s="48">
        <v>110.67246456938308</v>
      </c>
      <c r="CQ66" s="48">
        <v>110.67246456938308</v>
      </c>
      <c r="CR66" s="48">
        <v>110.67246456938308</v>
      </c>
      <c r="CS66" s="48">
        <v>110.67246456938308</v>
      </c>
      <c r="CT66" s="48">
        <v>110.67246456938308</v>
      </c>
      <c r="CU66" s="48">
        <v>110.67246456938308</v>
      </c>
      <c r="CV66" s="48">
        <v>110.67246456938308</v>
      </c>
      <c r="CW66" s="48">
        <v>110.67246456938308</v>
      </c>
      <c r="CX66" s="48">
        <v>110.67246456938308</v>
      </c>
      <c r="CY66" s="48">
        <v>112.4028983574657</v>
      </c>
      <c r="CZ66" s="48">
        <v>112.4028983574657</v>
      </c>
      <c r="DA66" s="48">
        <v>112.4028983574657</v>
      </c>
      <c r="DB66" s="48">
        <v>112.4028983574657</v>
      </c>
      <c r="DC66" s="48">
        <v>112.4028983574657</v>
      </c>
      <c r="DD66" s="48">
        <v>112.4028983574657</v>
      </c>
      <c r="DE66" s="48">
        <v>112.4028983574657</v>
      </c>
      <c r="DF66" s="48">
        <v>112.4028983574657</v>
      </c>
      <c r="DG66" s="48">
        <v>112.4028983574657</v>
      </c>
      <c r="DH66" s="48">
        <v>112.4028983574657</v>
      </c>
      <c r="DI66" s="48">
        <v>112.4028983574657</v>
      </c>
      <c r="DJ66" s="48">
        <v>112.4028983574657</v>
      </c>
      <c r="DK66" s="48">
        <v>112.4028983574657</v>
      </c>
      <c r="DL66" s="48">
        <v>112.4028983574657</v>
      </c>
      <c r="DM66" s="48">
        <v>112.4028983574657</v>
      </c>
      <c r="DN66" s="48">
        <v>112.4028983574657</v>
      </c>
      <c r="DO66" s="48">
        <v>112.90300561292283</v>
      </c>
      <c r="DP66" s="48">
        <v>112.90300561292283</v>
      </c>
      <c r="DQ66" s="48">
        <v>112.90300561292283</v>
      </c>
      <c r="DR66" s="48">
        <v>112.90300561292283</v>
      </c>
    </row>
    <row r="67" spans="1:122" s="42" customFormat="1" x14ac:dyDescent="0.35">
      <c r="B67" s="42">
        <v>360</v>
      </c>
      <c r="C67" s="37">
        <v>3600</v>
      </c>
      <c r="D67" s="40" t="s">
        <v>128</v>
      </c>
      <c r="E67" s="102">
        <v>54.540485677508798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100</v>
      </c>
      <c r="O67" s="41">
        <v>100</v>
      </c>
      <c r="P67" s="41">
        <v>100</v>
      </c>
      <c r="Q67" s="41">
        <v>100</v>
      </c>
      <c r="R67" s="41">
        <v>100</v>
      </c>
      <c r="S67" s="41">
        <v>92.176033961080691</v>
      </c>
      <c r="T67" s="41">
        <v>92.176033961080691</v>
      </c>
      <c r="U67" s="41">
        <v>92.176033961080691</v>
      </c>
      <c r="V67" s="41">
        <v>92.176033961080691</v>
      </c>
      <c r="W67" s="41">
        <v>92.176033961080691</v>
      </c>
      <c r="X67" s="41">
        <v>92.176033961080691</v>
      </c>
      <c r="Y67" s="41">
        <v>92.176033961080691</v>
      </c>
      <c r="Z67" s="41">
        <v>92.176033961080691</v>
      </c>
      <c r="AA67" s="41">
        <v>92.176033961080691</v>
      </c>
      <c r="AB67" s="41">
        <v>92.176033961080691</v>
      </c>
      <c r="AC67" s="41">
        <v>92.176033961080691</v>
      </c>
      <c r="AD67" s="41">
        <v>95.0304775710201</v>
      </c>
      <c r="AE67" s="41">
        <v>95.571030927601711</v>
      </c>
      <c r="AF67" s="41">
        <v>95.571030927601711</v>
      </c>
      <c r="AG67" s="41">
        <v>95.571030927601711</v>
      </c>
      <c r="AH67" s="41">
        <v>95.571030927601711</v>
      </c>
      <c r="AI67" s="41">
        <v>95.571030927601711</v>
      </c>
      <c r="AJ67" s="41">
        <v>95.571030927601711</v>
      </c>
      <c r="AK67" s="41">
        <v>95.571030927601711</v>
      </c>
      <c r="AL67" s="41">
        <v>95.571030927601711</v>
      </c>
      <c r="AM67" s="41">
        <v>95.571030927601711</v>
      </c>
      <c r="AN67" s="41">
        <v>95.571030927601711</v>
      </c>
      <c r="AO67" s="41">
        <v>95.571030927601711</v>
      </c>
      <c r="AP67" s="41">
        <v>95.571030927601711</v>
      </c>
      <c r="AQ67" s="41">
        <v>95.571030927601711</v>
      </c>
      <c r="AR67" s="41">
        <v>95.571030927601711</v>
      </c>
      <c r="AS67" s="41">
        <v>95.571030927601711</v>
      </c>
      <c r="AT67" s="41">
        <v>95.571030927601711</v>
      </c>
      <c r="AU67" s="41">
        <v>95.571030927601711</v>
      </c>
      <c r="AV67" s="41">
        <v>95.571030927601711</v>
      </c>
      <c r="AW67" s="41">
        <v>95.571030927601711</v>
      </c>
      <c r="AX67" s="41">
        <v>95.571030927601711</v>
      </c>
      <c r="AY67" s="41">
        <v>95.571030927601711</v>
      </c>
      <c r="AZ67" s="41">
        <v>95.571030927601711</v>
      </c>
      <c r="BA67" s="41">
        <v>95.571030927601711</v>
      </c>
      <c r="BB67" s="41">
        <v>95.571030927601711</v>
      </c>
      <c r="BC67" s="41">
        <v>95.571030927601711</v>
      </c>
      <c r="BD67" s="41">
        <v>95.571030927601711</v>
      </c>
      <c r="BE67" s="41">
        <v>95.571030927601711</v>
      </c>
      <c r="BF67" s="41">
        <v>95.571030927601711</v>
      </c>
      <c r="BG67" s="41">
        <v>95.571030927601711</v>
      </c>
      <c r="BH67" s="41">
        <v>95.571030927601711</v>
      </c>
      <c r="BI67" s="41">
        <v>95.571030927601711</v>
      </c>
      <c r="BJ67" s="41">
        <v>95.571030927601711</v>
      </c>
      <c r="BK67" s="41">
        <v>95.571030927601711</v>
      </c>
      <c r="BL67" s="41">
        <v>95.571030927601711</v>
      </c>
      <c r="BM67" s="41">
        <v>95.571030927601711</v>
      </c>
      <c r="BN67" s="41">
        <v>95.571030927601711</v>
      </c>
      <c r="BO67" s="41">
        <v>95.571030927601711</v>
      </c>
      <c r="BP67" s="41">
        <v>95.571030927601711</v>
      </c>
      <c r="BQ67" s="41">
        <v>95.571030927601711</v>
      </c>
      <c r="BR67" s="41">
        <v>95.571030927601711</v>
      </c>
      <c r="BS67" s="41">
        <v>95.571030927601711</v>
      </c>
      <c r="BT67" s="41">
        <v>95.571030927601711</v>
      </c>
      <c r="BU67" s="41">
        <v>95.571030927601711</v>
      </c>
      <c r="BV67" s="41">
        <v>95.571030927601711</v>
      </c>
      <c r="BW67" s="41">
        <v>95.571030927601711</v>
      </c>
      <c r="BX67" s="41">
        <v>95.571030927601711</v>
      </c>
      <c r="BY67" s="41">
        <v>95.571030927601711</v>
      </c>
      <c r="BZ67" s="41">
        <v>100.12619772376028</v>
      </c>
      <c r="CA67" s="41">
        <v>100.12619772376028</v>
      </c>
      <c r="CB67" s="41">
        <v>100.12619772376028</v>
      </c>
      <c r="CC67" s="41">
        <v>100.12619772376028</v>
      </c>
      <c r="CD67" s="41">
        <v>100.12619772376028</v>
      </c>
      <c r="CE67" s="41">
        <v>100.12619772376028</v>
      </c>
      <c r="CF67" s="41">
        <v>100.12619772376028</v>
      </c>
      <c r="CG67" s="41">
        <v>100.12619772376028</v>
      </c>
      <c r="CH67" s="41">
        <v>100.12619772376028</v>
      </c>
      <c r="CI67" s="41">
        <v>100.12619772376028</v>
      </c>
      <c r="CJ67" s="41">
        <v>100.12619772376028</v>
      </c>
      <c r="CK67" s="41">
        <v>100.12619772376028</v>
      </c>
      <c r="CL67" s="41">
        <v>108.06172129259735</v>
      </c>
      <c r="CM67" s="41">
        <v>108.92975497216976</v>
      </c>
      <c r="CN67" s="41">
        <v>109.7919718663581</v>
      </c>
      <c r="CO67" s="41">
        <v>110.67246456938308</v>
      </c>
      <c r="CP67" s="41">
        <v>110.67246456938308</v>
      </c>
      <c r="CQ67" s="41">
        <v>110.67246456938308</v>
      </c>
      <c r="CR67" s="41">
        <v>110.67246456938308</v>
      </c>
      <c r="CS67" s="41">
        <v>110.67246456938308</v>
      </c>
      <c r="CT67" s="41">
        <v>110.67246456938308</v>
      </c>
      <c r="CU67" s="41">
        <v>110.67246456938308</v>
      </c>
      <c r="CV67" s="41">
        <v>110.67246456938308</v>
      </c>
      <c r="CW67" s="41">
        <v>110.67246456938308</v>
      </c>
      <c r="CX67" s="41">
        <v>110.67246456938308</v>
      </c>
      <c r="CY67" s="41">
        <v>112.4028983574657</v>
      </c>
      <c r="CZ67" s="41">
        <v>112.4028983574657</v>
      </c>
      <c r="DA67" s="41">
        <v>112.4028983574657</v>
      </c>
      <c r="DB67" s="41">
        <v>112.4028983574657</v>
      </c>
      <c r="DC67" s="41">
        <v>112.4028983574657</v>
      </c>
      <c r="DD67" s="41">
        <v>112.4028983574657</v>
      </c>
      <c r="DE67" s="41">
        <v>112.4028983574657</v>
      </c>
      <c r="DF67" s="41">
        <v>112.4028983574657</v>
      </c>
      <c r="DG67" s="41">
        <v>112.4028983574657</v>
      </c>
      <c r="DH67" s="41">
        <v>112.4028983574657</v>
      </c>
      <c r="DI67" s="41">
        <v>112.4028983574657</v>
      </c>
      <c r="DJ67" s="41">
        <v>112.4028983574657</v>
      </c>
      <c r="DK67" s="41">
        <v>112.4028983574657</v>
      </c>
      <c r="DL67" s="41">
        <v>112.4028983574657</v>
      </c>
      <c r="DM67" s="41">
        <v>112.4028983574657</v>
      </c>
      <c r="DN67" s="41">
        <v>112.4028983574657</v>
      </c>
      <c r="DO67" s="41">
        <v>112.90300561292283</v>
      </c>
      <c r="DP67" s="41">
        <v>112.90300561292283</v>
      </c>
      <c r="DQ67" s="41">
        <v>112.90300561292283</v>
      </c>
      <c r="DR67" s="41">
        <v>112.90300561292283</v>
      </c>
    </row>
    <row r="68" spans="1:122" x14ac:dyDescent="0.35">
      <c r="A68" s="44">
        <v>37</v>
      </c>
      <c r="B68" s="44"/>
      <c r="C68" s="44"/>
      <c r="D68" s="45" t="s">
        <v>31</v>
      </c>
      <c r="E68" s="103">
        <v>0.28435209827665497</v>
      </c>
      <c r="F68" s="48">
        <v>100</v>
      </c>
      <c r="G68" s="48">
        <v>100</v>
      </c>
      <c r="H68" s="48">
        <v>100</v>
      </c>
      <c r="I68" s="48">
        <v>100</v>
      </c>
      <c r="J68" s="48">
        <v>100</v>
      </c>
      <c r="K68" s="48">
        <v>100</v>
      </c>
      <c r="L68" s="48">
        <v>100</v>
      </c>
      <c r="M68" s="48">
        <v>100</v>
      </c>
      <c r="N68" s="48">
        <v>100</v>
      </c>
      <c r="O68" s="48">
        <v>100</v>
      </c>
      <c r="P68" s="48">
        <v>100</v>
      </c>
      <c r="Q68" s="48">
        <v>100</v>
      </c>
      <c r="R68" s="48">
        <v>104.00359217712429</v>
      </c>
      <c r="S68" s="48">
        <v>95.866386445929933</v>
      </c>
      <c r="T68" s="48">
        <v>95.866386445929933</v>
      </c>
      <c r="U68" s="48">
        <v>95.866386445929933</v>
      </c>
      <c r="V68" s="48">
        <v>95.866386445929933</v>
      </c>
      <c r="W68" s="48">
        <v>95.866386445929933</v>
      </c>
      <c r="X68" s="48">
        <v>95.866386445929933</v>
      </c>
      <c r="Y68" s="48">
        <v>95.866386445929933</v>
      </c>
      <c r="Z68" s="48">
        <v>95.866386445929933</v>
      </c>
      <c r="AA68" s="48">
        <v>95.866386445929933</v>
      </c>
      <c r="AB68" s="48">
        <v>95.866386445929933</v>
      </c>
      <c r="AC68" s="48">
        <v>95.866386445929933</v>
      </c>
      <c r="AD68" s="48">
        <v>98.835110336937277</v>
      </c>
      <c r="AE68" s="48">
        <v>99.397305245416177</v>
      </c>
      <c r="AF68" s="48">
        <v>99.397305245416177</v>
      </c>
      <c r="AG68" s="48">
        <v>99.397305245416177</v>
      </c>
      <c r="AH68" s="48">
        <v>99.397305245416177</v>
      </c>
      <c r="AI68" s="48">
        <v>99.397305245416177</v>
      </c>
      <c r="AJ68" s="48">
        <v>99.397305245416177</v>
      </c>
      <c r="AK68" s="48">
        <v>99.397305245416177</v>
      </c>
      <c r="AL68" s="48">
        <v>99.397305245416177</v>
      </c>
      <c r="AM68" s="48">
        <v>99.397305245416177</v>
      </c>
      <c r="AN68" s="48">
        <v>99.397305245416177</v>
      </c>
      <c r="AO68" s="48">
        <v>99.397305245416177</v>
      </c>
      <c r="AP68" s="48">
        <v>99.397305245416177</v>
      </c>
      <c r="AQ68" s="48">
        <v>99.397305245416177</v>
      </c>
      <c r="AR68" s="48">
        <v>99.397305245416177</v>
      </c>
      <c r="AS68" s="48">
        <v>99.397305245416177</v>
      </c>
      <c r="AT68" s="48">
        <v>99.397305245416177</v>
      </c>
      <c r="AU68" s="48">
        <v>99.397305245416177</v>
      </c>
      <c r="AV68" s="48">
        <v>99.397305245416177</v>
      </c>
      <c r="AW68" s="48">
        <v>99.397305245416177</v>
      </c>
      <c r="AX68" s="48">
        <v>99.397305245416177</v>
      </c>
      <c r="AY68" s="48">
        <v>99.397305245416177</v>
      </c>
      <c r="AZ68" s="48">
        <v>99.397305245416177</v>
      </c>
      <c r="BA68" s="48">
        <v>99.397305245416177</v>
      </c>
      <c r="BB68" s="48">
        <v>99.397305245416177</v>
      </c>
      <c r="BC68" s="48">
        <v>99.397305245416177</v>
      </c>
      <c r="BD68" s="48">
        <v>99.397305245416177</v>
      </c>
      <c r="BE68" s="48">
        <v>99.397305245416177</v>
      </c>
      <c r="BF68" s="48">
        <v>99.397305245416177</v>
      </c>
      <c r="BG68" s="48">
        <v>99.397305245416177</v>
      </c>
      <c r="BH68" s="48">
        <v>99.397305245416177</v>
      </c>
      <c r="BI68" s="48">
        <v>99.397305245416177</v>
      </c>
      <c r="BJ68" s="48">
        <v>99.397305245416177</v>
      </c>
      <c r="BK68" s="48">
        <v>99.397305245416177</v>
      </c>
      <c r="BL68" s="48">
        <v>99.397305245416177</v>
      </c>
      <c r="BM68" s="48">
        <v>99.397305245416177</v>
      </c>
      <c r="BN68" s="48">
        <v>99.397305245416177</v>
      </c>
      <c r="BO68" s="48">
        <v>99.397305245416177</v>
      </c>
      <c r="BP68" s="48">
        <v>99.397305245416177</v>
      </c>
      <c r="BQ68" s="48">
        <v>99.397305245416177</v>
      </c>
      <c r="BR68" s="48">
        <v>99.397305245416177</v>
      </c>
      <c r="BS68" s="48">
        <v>99.397305245416177</v>
      </c>
      <c r="BT68" s="48">
        <v>99.397305245416177</v>
      </c>
      <c r="BU68" s="48">
        <v>99.397305245416177</v>
      </c>
      <c r="BV68" s="48">
        <v>99.397305245416177</v>
      </c>
      <c r="BW68" s="48">
        <v>99.397305245416177</v>
      </c>
      <c r="BX68" s="48">
        <v>99.397305245416177</v>
      </c>
      <c r="BY68" s="48">
        <v>99.397305245416177</v>
      </c>
      <c r="BZ68" s="48">
        <v>99.397305245416177</v>
      </c>
      <c r="CA68" s="48">
        <v>99.397305245416177</v>
      </c>
      <c r="CB68" s="48">
        <v>99.397305245416177</v>
      </c>
      <c r="CC68" s="48">
        <v>99.397305245416177</v>
      </c>
      <c r="CD68" s="48">
        <v>99.397305245416177</v>
      </c>
      <c r="CE68" s="48">
        <v>99.397305245416177</v>
      </c>
      <c r="CF68" s="48">
        <v>99.397305245416177</v>
      </c>
      <c r="CG68" s="48">
        <v>99.397305245416177</v>
      </c>
      <c r="CH68" s="48">
        <v>99.397305245416177</v>
      </c>
      <c r="CI68" s="48">
        <v>99.397305245416177</v>
      </c>
      <c r="CJ68" s="48">
        <v>99.397305245416177</v>
      </c>
      <c r="CK68" s="48">
        <v>99.397305245416177</v>
      </c>
      <c r="CL68" s="48">
        <v>99.397305245416177</v>
      </c>
      <c r="CM68" s="48">
        <v>99.397305245416177</v>
      </c>
      <c r="CN68" s="48">
        <v>99.397305245416177</v>
      </c>
      <c r="CO68" s="48">
        <v>99.397305245416177</v>
      </c>
      <c r="CP68" s="48">
        <v>99.397305245416177</v>
      </c>
      <c r="CQ68" s="48">
        <v>99.397305245416177</v>
      </c>
      <c r="CR68" s="48">
        <v>99.397305245416177</v>
      </c>
      <c r="CS68" s="48">
        <v>99.397305245416177</v>
      </c>
      <c r="CT68" s="48">
        <v>99.397305245416177</v>
      </c>
      <c r="CU68" s="48">
        <v>99.397305245416177</v>
      </c>
      <c r="CV68" s="48">
        <v>99.397305245416177</v>
      </c>
      <c r="CW68" s="48">
        <v>99.397305245416177</v>
      </c>
      <c r="CX68" s="48">
        <v>99.397305245416177</v>
      </c>
      <c r="CY68" s="48">
        <v>99.397305245416177</v>
      </c>
      <c r="CZ68" s="48">
        <v>99.397305245416177</v>
      </c>
      <c r="DA68" s="48">
        <v>99.397305245416177</v>
      </c>
      <c r="DB68" s="48">
        <v>99.397305245416177</v>
      </c>
      <c r="DC68" s="48">
        <v>99.397305245416177</v>
      </c>
      <c r="DD68" s="48">
        <v>99.397305245416177</v>
      </c>
      <c r="DE68" s="48">
        <v>99.397305245416177</v>
      </c>
      <c r="DF68" s="48">
        <v>99.397305245416177</v>
      </c>
      <c r="DG68" s="48">
        <v>99.397305245416177</v>
      </c>
      <c r="DH68" s="48">
        <v>99.397305245416177</v>
      </c>
      <c r="DI68" s="48">
        <v>99.397305245416177</v>
      </c>
      <c r="DJ68" s="48">
        <v>99.397305245416177</v>
      </c>
      <c r="DK68" s="48">
        <v>99.397305245416177</v>
      </c>
      <c r="DL68" s="48">
        <v>99.397305245416177</v>
      </c>
      <c r="DM68" s="48">
        <v>99.397305245416177</v>
      </c>
      <c r="DN68" s="48">
        <v>99.397305245416177</v>
      </c>
      <c r="DO68" s="48">
        <v>99.397305245416177</v>
      </c>
      <c r="DP68" s="48">
        <v>99.397305245416177</v>
      </c>
      <c r="DQ68" s="48">
        <v>99.397305245416177</v>
      </c>
      <c r="DR68" s="48">
        <v>99.397305245416177</v>
      </c>
    </row>
    <row r="69" spans="1:122" s="42" customFormat="1" x14ac:dyDescent="0.35">
      <c r="B69" s="42">
        <v>370</v>
      </c>
      <c r="C69" s="37">
        <v>3700</v>
      </c>
      <c r="D69" s="40" t="s">
        <v>31</v>
      </c>
      <c r="E69" s="102">
        <v>0.28435209827665497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100</v>
      </c>
      <c r="O69" s="41">
        <v>100</v>
      </c>
      <c r="P69" s="41">
        <v>100</v>
      </c>
      <c r="Q69" s="41">
        <v>100</v>
      </c>
      <c r="R69" s="41">
        <v>104.00359217712429</v>
      </c>
      <c r="S69" s="41">
        <v>95.866386445929933</v>
      </c>
      <c r="T69" s="41">
        <v>95.866386445929933</v>
      </c>
      <c r="U69" s="41">
        <v>95.866386445929933</v>
      </c>
      <c r="V69" s="41">
        <v>95.866386445929933</v>
      </c>
      <c r="W69" s="41">
        <v>95.866386445929933</v>
      </c>
      <c r="X69" s="41">
        <v>95.866386445929933</v>
      </c>
      <c r="Y69" s="41">
        <v>95.866386445929933</v>
      </c>
      <c r="Z69" s="41">
        <v>95.866386445929933</v>
      </c>
      <c r="AA69" s="41">
        <v>95.866386445929933</v>
      </c>
      <c r="AB69" s="41">
        <v>95.866386445929933</v>
      </c>
      <c r="AC69" s="41">
        <v>95.866386445929933</v>
      </c>
      <c r="AD69" s="41">
        <v>98.835110336937277</v>
      </c>
      <c r="AE69" s="41">
        <v>99.397305245416177</v>
      </c>
      <c r="AF69" s="41">
        <v>99.397305245416177</v>
      </c>
      <c r="AG69" s="41">
        <v>99.397305245416177</v>
      </c>
      <c r="AH69" s="41">
        <v>99.397305245416177</v>
      </c>
      <c r="AI69" s="41">
        <v>99.397305245416177</v>
      </c>
      <c r="AJ69" s="41">
        <v>99.397305245416177</v>
      </c>
      <c r="AK69" s="41">
        <v>99.397305245416177</v>
      </c>
      <c r="AL69" s="41">
        <v>99.397305245416177</v>
      </c>
      <c r="AM69" s="41">
        <v>99.397305245416177</v>
      </c>
      <c r="AN69" s="41">
        <v>99.397305245416177</v>
      </c>
      <c r="AO69" s="41">
        <v>99.397305245416177</v>
      </c>
      <c r="AP69" s="41">
        <v>99.397305245416177</v>
      </c>
      <c r="AQ69" s="41">
        <v>99.397305245416177</v>
      </c>
      <c r="AR69" s="41">
        <v>99.397305245416177</v>
      </c>
      <c r="AS69" s="41">
        <v>99.397305245416177</v>
      </c>
      <c r="AT69" s="41">
        <v>99.397305245416177</v>
      </c>
      <c r="AU69" s="41">
        <v>99.397305245416177</v>
      </c>
      <c r="AV69" s="41">
        <v>99.397305245416177</v>
      </c>
      <c r="AW69" s="41">
        <v>99.397305245416177</v>
      </c>
      <c r="AX69" s="41">
        <v>99.397305245416177</v>
      </c>
      <c r="AY69" s="41">
        <v>99.397305245416177</v>
      </c>
      <c r="AZ69" s="41">
        <v>99.397305245416177</v>
      </c>
      <c r="BA69" s="41">
        <v>99.397305245416177</v>
      </c>
      <c r="BB69" s="41">
        <v>99.397305245416177</v>
      </c>
      <c r="BC69" s="41">
        <v>99.397305245416177</v>
      </c>
      <c r="BD69" s="41">
        <v>99.397305245416177</v>
      </c>
      <c r="BE69" s="41">
        <v>99.397305245416177</v>
      </c>
      <c r="BF69" s="41">
        <v>99.397305245416177</v>
      </c>
      <c r="BG69" s="41">
        <v>99.397305245416177</v>
      </c>
      <c r="BH69" s="41">
        <v>99.397305245416177</v>
      </c>
      <c r="BI69" s="41">
        <v>99.397305245416177</v>
      </c>
      <c r="BJ69" s="41">
        <v>99.397305245416177</v>
      </c>
      <c r="BK69" s="41">
        <v>99.397305245416177</v>
      </c>
      <c r="BL69" s="41">
        <v>99.397305245416177</v>
      </c>
      <c r="BM69" s="41">
        <v>99.397305245416177</v>
      </c>
      <c r="BN69" s="41">
        <v>99.397305245416177</v>
      </c>
      <c r="BO69" s="41">
        <v>99.397305245416177</v>
      </c>
      <c r="BP69" s="41">
        <v>99.397305245416177</v>
      </c>
      <c r="BQ69" s="41">
        <v>99.397305245416177</v>
      </c>
      <c r="BR69" s="41">
        <v>99.397305245416177</v>
      </c>
      <c r="BS69" s="41">
        <v>99.397305245416177</v>
      </c>
      <c r="BT69" s="41">
        <v>99.397305245416177</v>
      </c>
      <c r="BU69" s="41">
        <v>99.397305245416177</v>
      </c>
      <c r="BV69" s="41">
        <v>99.397305245416177</v>
      </c>
      <c r="BW69" s="41">
        <v>99.397305245416177</v>
      </c>
      <c r="BX69" s="41">
        <v>99.397305245416177</v>
      </c>
      <c r="BY69" s="41">
        <v>99.397305245416177</v>
      </c>
      <c r="BZ69" s="41">
        <v>99.397305245416177</v>
      </c>
      <c r="CA69" s="41">
        <v>99.397305245416177</v>
      </c>
      <c r="CB69" s="41">
        <v>99.397305245416177</v>
      </c>
      <c r="CC69" s="41">
        <v>99.397305245416177</v>
      </c>
      <c r="CD69" s="41">
        <v>99.397305245416177</v>
      </c>
      <c r="CE69" s="41">
        <v>99.397305245416177</v>
      </c>
      <c r="CF69" s="41">
        <v>99.397305245416177</v>
      </c>
      <c r="CG69" s="41">
        <v>99.397305245416177</v>
      </c>
      <c r="CH69" s="41">
        <v>99.397305245416177</v>
      </c>
      <c r="CI69" s="41">
        <v>99.397305245416177</v>
      </c>
      <c r="CJ69" s="41">
        <v>99.397305245416177</v>
      </c>
      <c r="CK69" s="41">
        <v>99.397305245416177</v>
      </c>
      <c r="CL69" s="41">
        <v>99.397305245416177</v>
      </c>
      <c r="CM69" s="41">
        <v>99.397305245416177</v>
      </c>
      <c r="CN69" s="41">
        <v>99.397305245416177</v>
      </c>
      <c r="CO69" s="41">
        <v>99.397305245416177</v>
      </c>
      <c r="CP69" s="41">
        <v>99.397305245416177</v>
      </c>
      <c r="CQ69" s="41">
        <v>99.397305245416177</v>
      </c>
      <c r="CR69" s="41">
        <v>99.397305245416177</v>
      </c>
      <c r="CS69" s="41">
        <v>99.397305245416177</v>
      </c>
      <c r="CT69" s="41">
        <v>99.397305245416177</v>
      </c>
      <c r="CU69" s="41">
        <v>99.397305245416177</v>
      </c>
      <c r="CV69" s="41">
        <v>99.397305245416177</v>
      </c>
      <c r="CW69" s="41">
        <v>99.397305245416177</v>
      </c>
      <c r="CX69" s="41">
        <v>99.397305245416177</v>
      </c>
      <c r="CY69" s="41">
        <v>99.397305245416177</v>
      </c>
      <c r="CZ69" s="41">
        <v>99.397305245416177</v>
      </c>
      <c r="DA69" s="41">
        <v>99.397305245416177</v>
      </c>
      <c r="DB69" s="41">
        <v>99.397305245416177</v>
      </c>
      <c r="DC69" s="41">
        <v>99.397305245416177</v>
      </c>
      <c r="DD69" s="41">
        <v>99.397305245416177</v>
      </c>
      <c r="DE69" s="41">
        <v>99.397305245416177</v>
      </c>
      <c r="DF69" s="41">
        <v>99.397305245416177</v>
      </c>
      <c r="DG69" s="41">
        <v>99.397305245416177</v>
      </c>
      <c r="DH69" s="41">
        <v>99.397305245416177</v>
      </c>
      <c r="DI69" s="41">
        <v>99.397305245416177</v>
      </c>
      <c r="DJ69" s="41">
        <v>99.397305245416177</v>
      </c>
      <c r="DK69" s="41">
        <v>99.397305245416177</v>
      </c>
      <c r="DL69" s="41">
        <v>99.397305245416177</v>
      </c>
      <c r="DM69" s="41">
        <v>99.397305245416177</v>
      </c>
      <c r="DN69" s="41">
        <v>99.397305245416177</v>
      </c>
      <c r="DO69" s="41">
        <v>99.397305245416177</v>
      </c>
      <c r="DP69" s="41">
        <v>99.397305245416177</v>
      </c>
      <c r="DQ69" s="41">
        <v>99.397305245416177</v>
      </c>
      <c r="DR69" s="41">
        <v>99.397305245416177</v>
      </c>
    </row>
    <row r="70" spans="1:122" x14ac:dyDescent="0.35">
      <c r="A70" s="44">
        <v>38</v>
      </c>
      <c r="B70" s="44"/>
      <c r="C70" s="44"/>
      <c r="D70" s="45" t="s">
        <v>32</v>
      </c>
      <c r="E70" s="108">
        <v>6.6639051030359813</v>
      </c>
      <c r="F70" s="65">
        <v>100</v>
      </c>
      <c r="G70" s="65">
        <v>100</v>
      </c>
      <c r="H70" s="65">
        <v>100</v>
      </c>
      <c r="I70" s="65">
        <v>100</v>
      </c>
      <c r="J70" s="65">
        <v>100</v>
      </c>
      <c r="K70" s="65">
        <v>100</v>
      </c>
      <c r="L70" s="65">
        <v>100</v>
      </c>
      <c r="M70" s="65">
        <v>100</v>
      </c>
      <c r="N70" s="65">
        <v>100</v>
      </c>
      <c r="O70" s="65">
        <v>100</v>
      </c>
      <c r="P70" s="65">
        <v>100</v>
      </c>
      <c r="Q70" s="65">
        <v>100</v>
      </c>
      <c r="R70" s="65">
        <v>102.89172122253726</v>
      </c>
      <c r="S70" s="65">
        <v>97.007387243116355</v>
      </c>
      <c r="T70" s="65">
        <v>97.007387243116355</v>
      </c>
      <c r="U70" s="65">
        <v>97.007387243116355</v>
      </c>
      <c r="V70" s="65">
        <v>97.007387243116355</v>
      </c>
      <c r="W70" s="65">
        <v>97.007387243116355</v>
      </c>
      <c r="X70" s="65">
        <v>97.007387243116355</v>
      </c>
      <c r="Y70" s="65">
        <v>97.007387243116355</v>
      </c>
      <c r="Z70" s="65">
        <v>97.007387243116355</v>
      </c>
      <c r="AA70" s="65">
        <v>97.007387243116355</v>
      </c>
      <c r="AB70" s="65">
        <v>97.007387243116355</v>
      </c>
      <c r="AC70" s="65">
        <v>97.007387243116355</v>
      </c>
      <c r="AD70" s="65">
        <v>99.15739530398811</v>
      </c>
      <c r="AE70" s="65">
        <v>99.564121159358507</v>
      </c>
      <c r="AF70" s="65">
        <v>99.564121159358507</v>
      </c>
      <c r="AG70" s="65">
        <v>99.564121159358507</v>
      </c>
      <c r="AH70" s="65">
        <v>99.564121159358507</v>
      </c>
      <c r="AI70" s="65">
        <v>99.564121159358507</v>
      </c>
      <c r="AJ70" s="65">
        <v>99.564121159358507</v>
      </c>
      <c r="AK70" s="65">
        <v>99.564121159358507</v>
      </c>
      <c r="AL70" s="65">
        <v>99.564121159358507</v>
      </c>
      <c r="AM70" s="65">
        <v>99.564121159358507</v>
      </c>
      <c r="AN70" s="65">
        <v>99.564121159358507</v>
      </c>
      <c r="AO70" s="65">
        <v>99.564121159358507</v>
      </c>
      <c r="AP70" s="65">
        <v>99.564121159358507</v>
      </c>
      <c r="AQ70" s="65">
        <v>99.564121159358507</v>
      </c>
      <c r="AR70" s="65">
        <v>99.564121159358507</v>
      </c>
      <c r="AS70" s="65">
        <v>99.564121159358507</v>
      </c>
      <c r="AT70" s="65">
        <v>99.564121159358507</v>
      </c>
      <c r="AU70" s="65">
        <v>99.564121159358507</v>
      </c>
      <c r="AV70" s="65">
        <v>99.564121159358507</v>
      </c>
      <c r="AW70" s="65">
        <v>99.564121159358507</v>
      </c>
      <c r="AX70" s="65">
        <v>99.564121159358507</v>
      </c>
      <c r="AY70" s="65">
        <v>99.564121159358507</v>
      </c>
      <c r="AZ70" s="65">
        <v>99.564121159358507</v>
      </c>
      <c r="BA70" s="65">
        <v>100.00552596286207</v>
      </c>
      <c r="BB70" s="65">
        <v>100.00552596286207</v>
      </c>
      <c r="BC70" s="65">
        <v>100.00552596286207</v>
      </c>
      <c r="BD70" s="65">
        <v>100.00552596286207</v>
      </c>
      <c r="BE70" s="65">
        <v>100.00552596286207</v>
      </c>
      <c r="BF70" s="65">
        <v>100.00552596286207</v>
      </c>
      <c r="BG70" s="65">
        <v>100.00552596286207</v>
      </c>
      <c r="BH70" s="65">
        <v>100.00552596286207</v>
      </c>
      <c r="BI70" s="65">
        <v>100.00552596286207</v>
      </c>
      <c r="BJ70" s="65">
        <v>100.00552596286207</v>
      </c>
      <c r="BK70" s="65">
        <v>100.00552596286207</v>
      </c>
      <c r="BL70" s="65">
        <v>100.00552596286207</v>
      </c>
      <c r="BM70" s="65">
        <v>100.00552596286207</v>
      </c>
      <c r="BN70" s="65">
        <v>100.00552596286207</v>
      </c>
      <c r="BO70" s="65">
        <v>100.00552596286207</v>
      </c>
      <c r="BP70" s="65">
        <v>100.00552596286207</v>
      </c>
      <c r="BQ70" s="65">
        <v>100.00552596286207</v>
      </c>
      <c r="BR70" s="65">
        <v>100.00552596286207</v>
      </c>
      <c r="BS70" s="65">
        <v>100.00552596286207</v>
      </c>
      <c r="BT70" s="65">
        <v>100.00552596286207</v>
      </c>
      <c r="BU70" s="65">
        <v>100.00552596286207</v>
      </c>
      <c r="BV70" s="65">
        <v>100.00552596286207</v>
      </c>
      <c r="BW70" s="65">
        <v>100.00552596286207</v>
      </c>
      <c r="BX70" s="65">
        <v>100.00552596286207</v>
      </c>
      <c r="BY70" s="65">
        <v>100.00552596286207</v>
      </c>
      <c r="BZ70" s="65">
        <v>100.00552596286207</v>
      </c>
      <c r="CA70" s="65">
        <v>100.00552596286207</v>
      </c>
      <c r="CB70" s="65">
        <v>100.00552596286207</v>
      </c>
      <c r="CC70" s="65">
        <v>100.00552596286207</v>
      </c>
      <c r="CD70" s="65">
        <v>100.00552596286207</v>
      </c>
      <c r="CE70" s="65">
        <v>100.00552596286207</v>
      </c>
      <c r="CF70" s="65">
        <v>100.00552596286207</v>
      </c>
      <c r="CG70" s="65">
        <v>100.00552596286207</v>
      </c>
      <c r="CH70" s="65">
        <v>100.00552596286207</v>
      </c>
      <c r="CI70" s="65">
        <v>100.00552596286207</v>
      </c>
      <c r="CJ70" s="65">
        <v>100.00552596286207</v>
      </c>
      <c r="CK70" s="65">
        <v>100.00552596286207</v>
      </c>
      <c r="CL70" s="65">
        <v>100.00552596286207</v>
      </c>
      <c r="CM70" s="65">
        <v>100.00552596286207</v>
      </c>
      <c r="CN70" s="65">
        <v>100.00552596286207</v>
      </c>
      <c r="CO70" s="65">
        <v>100.00552596286207</v>
      </c>
      <c r="CP70" s="65">
        <v>100.00552596286207</v>
      </c>
      <c r="CQ70" s="65">
        <v>100.00552596286207</v>
      </c>
      <c r="CR70" s="65">
        <v>100.00552596286207</v>
      </c>
      <c r="CS70" s="65">
        <v>100.00552596286207</v>
      </c>
      <c r="CT70" s="65">
        <v>100.00552596286207</v>
      </c>
      <c r="CU70" s="65">
        <v>100.00552596286207</v>
      </c>
      <c r="CV70" s="65">
        <v>100.00552596286207</v>
      </c>
      <c r="CW70" s="65">
        <v>100.00552596286207</v>
      </c>
      <c r="CX70" s="65">
        <v>100.00552596286207</v>
      </c>
      <c r="CY70" s="65">
        <v>100.00552596286207</v>
      </c>
      <c r="CZ70" s="65">
        <v>100.00552596286207</v>
      </c>
      <c r="DA70" s="65">
        <v>100.00552596286207</v>
      </c>
      <c r="DB70" s="65">
        <v>100.00552596286207</v>
      </c>
      <c r="DC70" s="65">
        <v>100.00552596286207</v>
      </c>
      <c r="DD70" s="65">
        <v>100.00552596286207</v>
      </c>
      <c r="DE70" s="65">
        <v>100.00552596286207</v>
      </c>
      <c r="DF70" s="65">
        <v>100.00552596286207</v>
      </c>
      <c r="DG70" s="65">
        <v>100.00552596286207</v>
      </c>
      <c r="DH70" s="65">
        <v>101.19897334511953</v>
      </c>
      <c r="DI70" s="65">
        <v>101.19897334511953</v>
      </c>
      <c r="DJ70" s="65">
        <v>105.86382498025658</v>
      </c>
      <c r="DK70" s="65">
        <v>105.86382498025658</v>
      </c>
      <c r="DL70" s="65">
        <v>105.86382498025658</v>
      </c>
      <c r="DM70" s="65">
        <v>105.86382498025658</v>
      </c>
      <c r="DN70" s="65">
        <v>105.86382498025658</v>
      </c>
      <c r="DO70" s="65">
        <v>105.86382498025658</v>
      </c>
      <c r="DP70" s="65">
        <v>105.86382498025658</v>
      </c>
      <c r="DQ70" s="65">
        <v>105.86382498025658</v>
      </c>
      <c r="DR70" s="65">
        <v>105.86382498025658</v>
      </c>
    </row>
    <row r="71" spans="1:122" x14ac:dyDescent="0.35">
      <c r="B71" s="46">
        <v>381</v>
      </c>
      <c r="C71" s="46"/>
      <c r="D71" s="49" t="s">
        <v>129</v>
      </c>
      <c r="E71" s="109">
        <v>2.1710951189784709</v>
      </c>
      <c r="F71" s="67">
        <v>100</v>
      </c>
      <c r="G71" s="67">
        <v>100</v>
      </c>
      <c r="H71" s="67">
        <v>100</v>
      </c>
      <c r="I71" s="67">
        <v>100</v>
      </c>
      <c r="J71" s="67">
        <v>100</v>
      </c>
      <c r="K71" s="67">
        <v>100</v>
      </c>
      <c r="L71" s="67">
        <v>100</v>
      </c>
      <c r="M71" s="67">
        <v>100</v>
      </c>
      <c r="N71" s="67">
        <v>100</v>
      </c>
      <c r="O71" s="67">
        <v>100</v>
      </c>
      <c r="P71" s="67">
        <v>100</v>
      </c>
      <c r="Q71" s="67">
        <v>100</v>
      </c>
      <c r="R71" s="67">
        <v>100.5908432545086</v>
      </c>
      <c r="S71" s="67">
        <v>99.368545779472328</v>
      </c>
      <c r="T71" s="67">
        <v>99.368545779472328</v>
      </c>
      <c r="U71" s="67">
        <v>99.368545779472328</v>
      </c>
      <c r="V71" s="67">
        <v>99.368545779472328</v>
      </c>
      <c r="W71" s="67">
        <v>99.368545779472328</v>
      </c>
      <c r="X71" s="67">
        <v>99.368545779472328</v>
      </c>
      <c r="Y71" s="67">
        <v>99.368545779472328</v>
      </c>
      <c r="Z71" s="67">
        <v>99.368545779472328</v>
      </c>
      <c r="AA71" s="67">
        <v>99.368545779472328</v>
      </c>
      <c r="AB71" s="67">
        <v>99.368545779472328</v>
      </c>
      <c r="AC71" s="67">
        <v>99.368545779472328</v>
      </c>
      <c r="AD71" s="67">
        <v>99.824323760977549</v>
      </c>
      <c r="AE71" s="67">
        <v>99.909325842980323</v>
      </c>
      <c r="AF71" s="67">
        <v>99.909325842980323</v>
      </c>
      <c r="AG71" s="67">
        <v>99.909325842980323</v>
      </c>
      <c r="AH71" s="67">
        <v>99.909325842980323</v>
      </c>
      <c r="AI71" s="67">
        <v>99.909325842980323</v>
      </c>
      <c r="AJ71" s="67">
        <v>99.909325842980323</v>
      </c>
      <c r="AK71" s="67">
        <v>99.909325842980323</v>
      </c>
      <c r="AL71" s="67">
        <v>99.909325842980323</v>
      </c>
      <c r="AM71" s="67">
        <v>99.909325842980323</v>
      </c>
      <c r="AN71" s="67">
        <v>99.909325842980323</v>
      </c>
      <c r="AO71" s="67">
        <v>99.909325842980323</v>
      </c>
      <c r="AP71" s="67">
        <v>99.909325842980323</v>
      </c>
      <c r="AQ71" s="67">
        <v>99.909325842980323</v>
      </c>
      <c r="AR71" s="67">
        <v>99.909325842980323</v>
      </c>
      <c r="AS71" s="67">
        <v>99.909325842980323</v>
      </c>
      <c r="AT71" s="67">
        <v>99.909325842980323</v>
      </c>
      <c r="AU71" s="67">
        <v>99.909325842980323</v>
      </c>
      <c r="AV71" s="67">
        <v>99.909325842980323</v>
      </c>
      <c r="AW71" s="67">
        <v>99.909325842980323</v>
      </c>
      <c r="AX71" s="67">
        <v>99.909325842980323</v>
      </c>
      <c r="AY71" s="67">
        <v>99.909325842980323</v>
      </c>
      <c r="AZ71" s="67">
        <v>99.909325842980323</v>
      </c>
      <c r="BA71" s="67">
        <v>101.26416271625187</v>
      </c>
      <c r="BB71" s="67">
        <v>101.26416271625187</v>
      </c>
      <c r="BC71" s="67">
        <v>101.26416271625187</v>
      </c>
      <c r="BD71" s="67">
        <v>101.26416271625187</v>
      </c>
      <c r="BE71" s="67">
        <v>101.26416271625187</v>
      </c>
      <c r="BF71" s="67">
        <v>101.26416271625187</v>
      </c>
      <c r="BG71" s="67">
        <v>101.26416271625187</v>
      </c>
      <c r="BH71" s="67">
        <v>101.26416271625187</v>
      </c>
      <c r="BI71" s="67">
        <v>101.26416271625187</v>
      </c>
      <c r="BJ71" s="67">
        <v>101.26416271625187</v>
      </c>
      <c r="BK71" s="67">
        <v>101.26416271625187</v>
      </c>
      <c r="BL71" s="67">
        <v>101.26416271625187</v>
      </c>
      <c r="BM71" s="67">
        <v>101.26416271625187</v>
      </c>
      <c r="BN71" s="67">
        <v>101.26416271625187</v>
      </c>
      <c r="BO71" s="67">
        <v>101.26416271625187</v>
      </c>
      <c r="BP71" s="67">
        <v>101.26416271625187</v>
      </c>
      <c r="BQ71" s="67">
        <v>101.26416271625187</v>
      </c>
      <c r="BR71" s="67">
        <v>101.26416271625187</v>
      </c>
      <c r="BS71" s="67">
        <v>101.26416271625187</v>
      </c>
      <c r="BT71" s="67">
        <v>101.26416271625187</v>
      </c>
      <c r="BU71" s="67">
        <v>101.26416271625187</v>
      </c>
      <c r="BV71" s="67">
        <v>101.26416271625187</v>
      </c>
      <c r="BW71" s="67">
        <v>101.26416271625187</v>
      </c>
      <c r="BX71" s="67">
        <v>101.26416271625187</v>
      </c>
      <c r="BY71" s="67">
        <v>101.26416271625187</v>
      </c>
      <c r="BZ71" s="67">
        <v>101.26416271625187</v>
      </c>
      <c r="CA71" s="67">
        <v>101.26416271625187</v>
      </c>
      <c r="CB71" s="67">
        <v>101.26416271625187</v>
      </c>
      <c r="CC71" s="67">
        <v>101.26416271625187</v>
      </c>
      <c r="CD71" s="67">
        <v>101.26416271625187</v>
      </c>
      <c r="CE71" s="67">
        <v>101.26416271625187</v>
      </c>
      <c r="CF71" s="67">
        <v>101.26416271625187</v>
      </c>
      <c r="CG71" s="67">
        <v>101.26416271625187</v>
      </c>
      <c r="CH71" s="67">
        <v>101.26416271625187</v>
      </c>
      <c r="CI71" s="67">
        <v>101.26416271625187</v>
      </c>
      <c r="CJ71" s="67">
        <v>101.26416271625187</v>
      </c>
      <c r="CK71" s="67">
        <v>101.26416271625187</v>
      </c>
      <c r="CL71" s="67">
        <v>101.26416271625187</v>
      </c>
      <c r="CM71" s="67">
        <v>101.26416271625187</v>
      </c>
      <c r="CN71" s="67">
        <v>101.26416271625187</v>
      </c>
      <c r="CO71" s="67">
        <v>101.26416271625187</v>
      </c>
      <c r="CP71" s="67">
        <v>101.26416271625187</v>
      </c>
      <c r="CQ71" s="67">
        <v>101.26416271625187</v>
      </c>
      <c r="CR71" s="67">
        <v>101.26416271625187</v>
      </c>
      <c r="CS71" s="67">
        <v>101.26416271625187</v>
      </c>
      <c r="CT71" s="67">
        <v>101.26416271625187</v>
      </c>
      <c r="CU71" s="67">
        <v>101.26416271625187</v>
      </c>
      <c r="CV71" s="67">
        <v>101.26416271625187</v>
      </c>
      <c r="CW71" s="67">
        <v>101.26416271625187</v>
      </c>
      <c r="CX71" s="67">
        <v>101.26416271625187</v>
      </c>
      <c r="CY71" s="67">
        <v>101.26416271625187</v>
      </c>
      <c r="CZ71" s="67">
        <v>101.26416271625187</v>
      </c>
      <c r="DA71" s="67">
        <v>101.26416271625187</v>
      </c>
      <c r="DB71" s="67">
        <v>101.26416271625187</v>
      </c>
      <c r="DC71" s="67">
        <v>101.26416271625187</v>
      </c>
      <c r="DD71" s="67">
        <v>101.26416271625187</v>
      </c>
      <c r="DE71" s="67">
        <v>101.26416271625187</v>
      </c>
      <c r="DF71" s="67">
        <v>101.26416271625187</v>
      </c>
      <c r="DG71" s="67">
        <v>101.26416271625187</v>
      </c>
      <c r="DH71" s="67">
        <v>104.92730028738345</v>
      </c>
      <c r="DI71" s="67">
        <v>104.92730028738345</v>
      </c>
      <c r="DJ71" s="67">
        <v>104.92730028738345</v>
      </c>
      <c r="DK71" s="67">
        <v>104.92730028738345</v>
      </c>
      <c r="DL71" s="67">
        <v>104.92730028738345</v>
      </c>
      <c r="DM71" s="67">
        <v>104.92730028738345</v>
      </c>
      <c r="DN71" s="67">
        <v>104.92730028738345</v>
      </c>
      <c r="DO71" s="67">
        <v>104.92730028738345</v>
      </c>
      <c r="DP71" s="67">
        <v>104.92730028738345</v>
      </c>
      <c r="DQ71" s="67">
        <v>104.92730028738345</v>
      </c>
      <c r="DR71" s="67">
        <v>104.92730028738345</v>
      </c>
    </row>
    <row r="72" spans="1:122" x14ac:dyDescent="0.35">
      <c r="B72" s="46">
        <v>383</v>
      </c>
      <c r="C72" s="46"/>
      <c r="D72" s="49" t="s">
        <v>130</v>
      </c>
      <c r="E72" s="109">
        <v>4.4928099840575104</v>
      </c>
      <c r="F72" s="60">
        <v>100</v>
      </c>
      <c r="G72" s="60">
        <v>100</v>
      </c>
      <c r="H72" s="60">
        <v>100</v>
      </c>
      <c r="I72" s="60">
        <v>100</v>
      </c>
      <c r="J72" s="60">
        <v>100</v>
      </c>
      <c r="K72" s="60">
        <v>100</v>
      </c>
      <c r="L72" s="60">
        <v>100</v>
      </c>
      <c r="M72" s="60">
        <v>100</v>
      </c>
      <c r="N72" s="60">
        <v>100</v>
      </c>
      <c r="O72" s="60">
        <v>100</v>
      </c>
      <c r="P72" s="60">
        <v>100</v>
      </c>
      <c r="Q72" s="60">
        <v>100</v>
      </c>
      <c r="R72" s="60">
        <v>104.00359217712428</v>
      </c>
      <c r="S72" s="60">
        <v>95.866386445929919</v>
      </c>
      <c r="T72" s="60">
        <v>95.866386445929919</v>
      </c>
      <c r="U72" s="60">
        <v>95.866386445929919</v>
      </c>
      <c r="V72" s="60">
        <v>95.866386445929919</v>
      </c>
      <c r="W72" s="60">
        <v>95.866386445929919</v>
      </c>
      <c r="X72" s="60">
        <v>95.866386445929919</v>
      </c>
      <c r="Y72" s="60">
        <v>95.866386445929919</v>
      </c>
      <c r="Z72" s="60">
        <v>95.866386445929919</v>
      </c>
      <c r="AA72" s="60">
        <v>95.866386445929919</v>
      </c>
      <c r="AB72" s="60">
        <v>95.866386445929919</v>
      </c>
      <c r="AC72" s="60">
        <v>95.866386445929919</v>
      </c>
      <c r="AD72" s="60">
        <v>98.835110336937277</v>
      </c>
      <c r="AE72" s="60">
        <v>99.397305245416177</v>
      </c>
      <c r="AF72" s="60">
        <v>99.397305245416177</v>
      </c>
      <c r="AG72" s="60">
        <v>99.397305245416177</v>
      </c>
      <c r="AH72" s="60">
        <v>99.397305245416177</v>
      </c>
      <c r="AI72" s="60">
        <v>99.397305245416177</v>
      </c>
      <c r="AJ72" s="60">
        <v>99.397305245416177</v>
      </c>
      <c r="AK72" s="60">
        <v>99.397305245416177</v>
      </c>
      <c r="AL72" s="60">
        <v>99.397305245416177</v>
      </c>
      <c r="AM72" s="60">
        <v>99.397305245416177</v>
      </c>
      <c r="AN72" s="60">
        <v>99.397305245416177</v>
      </c>
      <c r="AO72" s="60">
        <v>99.397305245416177</v>
      </c>
      <c r="AP72" s="60">
        <v>99.397305245416177</v>
      </c>
      <c r="AQ72" s="60">
        <v>99.397305245416177</v>
      </c>
      <c r="AR72" s="60">
        <v>99.397305245416177</v>
      </c>
      <c r="AS72" s="60">
        <v>99.397305245416177</v>
      </c>
      <c r="AT72" s="60">
        <v>99.397305245416177</v>
      </c>
      <c r="AU72" s="60">
        <v>99.397305245416177</v>
      </c>
      <c r="AV72" s="60">
        <v>99.397305245416177</v>
      </c>
      <c r="AW72" s="60">
        <v>99.397305245416177</v>
      </c>
      <c r="AX72" s="60">
        <v>99.397305245416177</v>
      </c>
      <c r="AY72" s="60">
        <v>99.397305245416177</v>
      </c>
      <c r="AZ72" s="60">
        <v>99.397305245416177</v>
      </c>
      <c r="BA72" s="60">
        <v>99.397305245416177</v>
      </c>
      <c r="BB72" s="60">
        <v>99.397305245416177</v>
      </c>
      <c r="BC72" s="60">
        <v>99.397305245416177</v>
      </c>
      <c r="BD72" s="60">
        <v>99.397305245416177</v>
      </c>
      <c r="BE72" s="60">
        <v>99.397305245416177</v>
      </c>
      <c r="BF72" s="60">
        <v>99.397305245416177</v>
      </c>
      <c r="BG72" s="60">
        <v>99.397305245416177</v>
      </c>
      <c r="BH72" s="60">
        <v>99.397305245416177</v>
      </c>
      <c r="BI72" s="60">
        <v>99.397305245416177</v>
      </c>
      <c r="BJ72" s="60">
        <v>99.397305245416177</v>
      </c>
      <c r="BK72" s="60">
        <v>99.397305245416177</v>
      </c>
      <c r="BL72" s="60">
        <v>99.397305245416177</v>
      </c>
      <c r="BM72" s="60">
        <v>99.397305245416177</v>
      </c>
      <c r="BN72" s="60">
        <v>99.397305245416177</v>
      </c>
      <c r="BO72" s="60">
        <v>99.397305245416177</v>
      </c>
      <c r="BP72" s="60">
        <v>99.397305245416177</v>
      </c>
      <c r="BQ72" s="60">
        <v>99.397305245416177</v>
      </c>
      <c r="BR72" s="60">
        <v>99.397305245416177</v>
      </c>
      <c r="BS72" s="60">
        <v>99.397305245416177</v>
      </c>
      <c r="BT72" s="60">
        <v>99.397305245416177</v>
      </c>
      <c r="BU72" s="60">
        <v>99.397305245416177</v>
      </c>
      <c r="BV72" s="60">
        <v>99.397305245416177</v>
      </c>
      <c r="BW72" s="60">
        <v>99.397305245416177</v>
      </c>
      <c r="BX72" s="60">
        <v>99.397305245416177</v>
      </c>
      <c r="BY72" s="60">
        <v>99.397305245416177</v>
      </c>
      <c r="BZ72" s="60">
        <v>99.397305245416177</v>
      </c>
      <c r="CA72" s="60">
        <v>99.397305245416177</v>
      </c>
      <c r="CB72" s="60">
        <v>99.397305245416177</v>
      </c>
      <c r="CC72" s="60">
        <v>99.397305245416177</v>
      </c>
      <c r="CD72" s="60">
        <v>99.397305245416177</v>
      </c>
      <c r="CE72" s="60">
        <v>99.397305245416177</v>
      </c>
      <c r="CF72" s="60">
        <v>99.397305245416177</v>
      </c>
      <c r="CG72" s="60">
        <v>99.397305245416177</v>
      </c>
      <c r="CH72" s="60">
        <v>99.397305245416177</v>
      </c>
      <c r="CI72" s="60">
        <v>99.397305245416177</v>
      </c>
      <c r="CJ72" s="60">
        <v>99.397305245416177</v>
      </c>
      <c r="CK72" s="60">
        <v>99.397305245416177</v>
      </c>
      <c r="CL72" s="60">
        <v>99.397305245416177</v>
      </c>
      <c r="CM72" s="60">
        <v>99.397305245416177</v>
      </c>
      <c r="CN72" s="60">
        <v>99.397305245416177</v>
      </c>
      <c r="CO72" s="60">
        <v>99.397305245416177</v>
      </c>
      <c r="CP72" s="60">
        <v>99.397305245416177</v>
      </c>
      <c r="CQ72" s="60">
        <v>99.397305245416177</v>
      </c>
      <c r="CR72" s="60">
        <v>99.397305245416177</v>
      </c>
      <c r="CS72" s="60">
        <v>99.397305245416177</v>
      </c>
      <c r="CT72" s="60">
        <v>99.397305245416177</v>
      </c>
      <c r="CU72" s="60">
        <v>99.397305245416177</v>
      </c>
      <c r="CV72" s="60">
        <v>99.397305245416177</v>
      </c>
      <c r="CW72" s="60">
        <v>99.397305245416177</v>
      </c>
      <c r="CX72" s="60">
        <v>99.397305245416177</v>
      </c>
      <c r="CY72" s="60">
        <v>99.397305245416177</v>
      </c>
      <c r="CZ72" s="60">
        <v>99.397305245416177</v>
      </c>
      <c r="DA72" s="60">
        <v>99.397305245416177</v>
      </c>
      <c r="DB72" s="60">
        <v>99.397305245416177</v>
      </c>
      <c r="DC72" s="60">
        <v>99.397305245416177</v>
      </c>
      <c r="DD72" s="60">
        <v>99.397305245416177</v>
      </c>
      <c r="DE72" s="60">
        <v>99.397305245416177</v>
      </c>
      <c r="DF72" s="60">
        <v>99.397305245416177</v>
      </c>
      <c r="DG72" s="60">
        <v>99.397305245416177</v>
      </c>
      <c r="DH72" s="60">
        <v>99.397305245416177</v>
      </c>
      <c r="DI72" s="60">
        <v>99.397305245416177</v>
      </c>
      <c r="DJ72" s="60">
        <v>106.31638900960895</v>
      </c>
      <c r="DK72" s="60">
        <v>106.31638900960895</v>
      </c>
      <c r="DL72" s="60">
        <v>106.31638900960895</v>
      </c>
      <c r="DM72" s="60">
        <v>106.31638900960895</v>
      </c>
      <c r="DN72" s="60">
        <v>106.31638900960895</v>
      </c>
      <c r="DO72" s="60">
        <v>106.31638900960895</v>
      </c>
      <c r="DP72" s="60">
        <v>106.31638900960895</v>
      </c>
      <c r="DQ72" s="60">
        <v>106.31638900960895</v>
      </c>
      <c r="DR72" s="60">
        <v>106.31638900960895</v>
      </c>
    </row>
    <row r="73" spans="1:122" s="42" customFormat="1" x14ac:dyDescent="0.35">
      <c r="C73" s="37">
        <v>3830</v>
      </c>
      <c r="D73" s="40" t="s">
        <v>130</v>
      </c>
      <c r="E73" s="102">
        <v>4.4928099840575104</v>
      </c>
      <c r="F73" s="41">
        <v>100</v>
      </c>
      <c r="G73" s="41">
        <v>100</v>
      </c>
      <c r="H73" s="41">
        <v>100</v>
      </c>
      <c r="I73" s="41">
        <v>100</v>
      </c>
      <c r="J73" s="41">
        <v>100</v>
      </c>
      <c r="K73" s="41">
        <v>100</v>
      </c>
      <c r="L73" s="41">
        <v>100</v>
      </c>
      <c r="M73" s="41">
        <v>100</v>
      </c>
      <c r="N73" s="41">
        <v>100</v>
      </c>
      <c r="O73" s="41">
        <v>100</v>
      </c>
      <c r="P73" s="41">
        <v>100</v>
      </c>
      <c r="Q73" s="41">
        <v>100</v>
      </c>
      <c r="R73" s="41">
        <v>104.00359217712428</v>
      </c>
      <c r="S73" s="41">
        <v>95.866386445929919</v>
      </c>
      <c r="T73" s="41">
        <v>95.866386445929919</v>
      </c>
      <c r="U73" s="41">
        <v>95.866386445929919</v>
      </c>
      <c r="V73" s="41">
        <v>95.866386445929919</v>
      </c>
      <c r="W73" s="41">
        <v>95.866386445929919</v>
      </c>
      <c r="X73" s="41">
        <v>95.866386445929919</v>
      </c>
      <c r="Y73" s="41">
        <v>95.866386445929919</v>
      </c>
      <c r="Z73" s="41">
        <v>95.866386445929919</v>
      </c>
      <c r="AA73" s="41">
        <v>95.866386445929919</v>
      </c>
      <c r="AB73" s="41">
        <v>95.866386445929919</v>
      </c>
      <c r="AC73" s="41">
        <v>95.866386445929919</v>
      </c>
      <c r="AD73" s="41">
        <v>98.835110336937277</v>
      </c>
      <c r="AE73" s="41">
        <v>99.397305245416177</v>
      </c>
      <c r="AF73" s="41">
        <v>99.397305245416177</v>
      </c>
      <c r="AG73" s="41">
        <v>99.397305245416177</v>
      </c>
      <c r="AH73" s="41">
        <v>99.397305245416177</v>
      </c>
      <c r="AI73" s="41">
        <v>99.397305245416177</v>
      </c>
      <c r="AJ73" s="41">
        <v>99.397305245416177</v>
      </c>
      <c r="AK73" s="41">
        <v>99.397305245416177</v>
      </c>
      <c r="AL73" s="41">
        <v>99.397305245416177</v>
      </c>
      <c r="AM73" s="41">
        <v>99.397305245416177</v>
      </c>
      <c r="AN73" s="41">
        <v>99.397305245416177</v>
      </c>
      <c r="AO73" s="41">
        <v>99.397305245416177</v>
      </c>
      <c r="AP73" s="41">
        <v>99.397305245416177</v>
      </c>
      <c r="AQ73" s="41">
        <v>99.397305245416177</v>
      </c>
      <c r="AR73" s="41">
        <v>99.397305245416177</v>
      </c>
      <c r="AS73" s="41">
        <v>99.397305245416177</v>
      </c>
      <c r="AT73" s="41">
        <v>99.397305245416177</v>
      </c>
      <c r="AU73" s="41">
        <v>99.397305245416177</v>
      </c>
      <c r="AV73" s="41">
        <v>99.397305245416177</v>
      </c>
      <c r="AW73" s="41">
        <v>99.397305245416177</v>
      </c>
      <c r="AX73" s="41">
        <v>99.397305245416177</v>
      </c>
      <c r="AY73" s="41">
        <v>99.397305245416177</v>
      </c>
      <c r="AZ73" s="41">
        <v>99.397305245416177</v>
      </c>
      <c r="BA73" s="41">
        <v>99.397305245416177</v>
      </c>
      <c r="BB73" s="41">
        <v>99.397305245416177</v>
      </c>
      <c r="BC73" s="41">
        <v>99.397305245416177</v>
      </c>
      <c r="BD73" s="41">
        <v>99.397305245416177</v>
      </c>
      <c r="BE73" s="41">
        <v>99.397305245416177</v>
      </c>
      <c r="BF73" s="41">
        <v>99.397305245416177</v>
      </c>
      <c r="BG73" s="41">
        <v>99.397305245416177</v>
      </c>
      <c r="BH73" s="41">
        <v>99.397305245416177</v>
      </c>
      <c r="BI73" s="41">
        <v>99.397305245416177</v>
      </c>
      <c r="BJ73" s="41">
        <v>99.397305245416177</v>
      </c>
      <c r="BK73" s="41">
        <v>99.397305245416177</v>
      </c>
      <c r="BL73" s="41">
        <v>99.397305245416177</v>
      </c>
      <c r="BM73" s="41">
        <v>99.397305245416177</v>
      </c>
      <c r="BN73" s="41">
        <v>99.397305245416177</v>
      </c>
      <c r="BO73" s="41">
        <v>99.397305245416177</v>
      </c>
      <c r="BP73" s="41">
        <v>99.397305245416177</v>
      </c>
      <c r="BQ73" s="41">
        <v>99.397305245416177</v>
      </c>
      <c r="BR73" s="41">
        <v>99.397305245416177</v>
      </c>
      <c r="BS73" s="41">
        <v>99.397305245416177</v>
      </c>
      <c r="BT73" s="41">
        <v>99.397305245416177</v>
      </c>
      <c r="BU73" s="41">
        <v>99.397305245416177</v>
      </c>
      <c r="BV73" s="41">
        <v>99.397305245416177</v>
      </c>
      <c r="BW73" s="41">
        <v>99.397305245416177</v>
      </c>
      <c r="BX73" s="41">
        <v>99.397305245416177</v>
      </c>
      <c r="BY73" s="41">
        <v>99.397305245416177</v>
      </c>
      <c r="BZ73" s="41">
        <v>99.397305245416177</v>
      </c>
      <c r="CA73" s="41">
        <v>99.397305245416177</v>
      </c>
      <c r="CB73" s="41">
        <v>99.397305245416177</v>
      </c>
      <c r="CC73" s="41">
        <v>99.397305245416177</v>
      </c>
      <c r="CD73" s="41">
        <v>99.397305245416177</v>
      </c>
      <c r="CE73" s="41">
        <v>99.397305245416177</v>
      </c>
      <c r="CF73" s="41">
        <v>99.397305245416177</v>
      </c>
      <c r="CG73" s="41">
        <v>99.397305245416177</v>
      </c>
      <c r="CH73" s="41">
        <v>99.397305245416177</v>
      </c>
      <c r="CI73" s="41">
        <v>99.397305245416177</v>
      </c>
      <c r="CJ73" s="41">
        <v>99.397305245416177</v>
      </c>
      <c r="CK73" s="41">
        <v>99.397305245416177</v>
      </c>
      <c r="CL73" s="41">
        <v>99.397305245416177</v>
      </c>
      <c r="CM73" s="41">
        <v>99.397305245416177</v>
      </c>
      <c r="CN73" s="41">
        <v>99.397305245416177</v>
      </c>
      <c r="CO73" s="41">
        <v>99.397305245416177</v>
      </c>
      <c r="CP73" s="41">
        <v>99.397305245416177</v>
      </c>
      <c r="CQ73" s="41">
        <v>99.397305245416177</v>
      </c>
      <c r="CR73" s="41">
        <v>99.397305245416177</v>
      </c>
      <c r="CS73" s="41">
        <v>99.397305245416177</v>
      </c>
      <c r="CT73" s="41">
        <v>99.397305245416177</v>
      </c>
      <c r="CU73" s="41">
        <v>99.397305245416177</v>
      </c>
      <c r="CV73" s="41">
        <v>99.397305245416177</v>
      </c>
      <c r="CW73" s="41">
        <v>99.397305245416177</v>
      </c>
      <c r="CX73" s="41">
        <v>99.397305245416177</v>
      </c>
      <c r="CY73" s="41">
        <v>99.397305245416177</v>
      </c>
      <c r="CZ73" s="41">
        <v>99.397305245416177</v>
      </c>
      <c r="DA73" s="41">
        <v>99.397305245416177</v>
      </c>
      <c r="DB73" s="41">
        <v>99.397305245416177</v>
      </c>
      <c r="DC73" s="41">
        <v>99.397305245416177</v>
      </c>
      <c r="DD73" s="41">
        <v>99.397305245416177</v>
      </c>
      <c r="DE73" s="41">
        <v>99.397305245416177</v>
      </c>
      <c r="DF73" s="41">
        <v>99.397305245416177</v>
      </c>
      <c r="DG73" s="41">
        <v>99.397305245416177</v>
      </c>
      <c r="DH73" s="41">
        <v>99.397305245416177</v>
      </c>
      <c r="DI73" s="41">
        <v>99.397305245416177</v>
      </c>
      <c r="DJ73" s="41">
        <v>106.31638900960895</v>
      </c>
      <c r="DK73" s="41">
        <v>106.31638900960895</v>
      </c>
      <c r="DL73" s="41">
        <v>106.31638900960895</v>
      </c>
      <c r="DM73" s="41">
        <v>106.31638900960895</v>
      </c>
      <c r="DN73" s="41">
        <v>106.31638900960895</v>
      </c>
      <c r="DO73" s="41">
        <v>106.31638900960895</v>
      </c>
      <c r="DP73" s="41">
        <v>106.31638900960895</v>
      </c>
      <c r="DQ73" s="41">
        <v>106.31638900960895</v>
      </c>
      <c r="DR73" s="41">
        <v>106.31638900960895</v>
      </c>
    </row>
    <row r="74" spans="1:122" s="42" customFormat="1" x14ac:dyDescent="0.35">
      <c r="C74" s="31" t="s">
        <v>131</v>
      </c>
      <c r="D74" s="40" t="s">
        <v>132</v>
      </c>
      <c r="E74" s="102">
        <v>1.8973070416886</v>
      </c>
      <c r="F74" s="41">
        <v>100</v>
      </c>
      <c r="G74" s="41">
        <v>100</v>
      </c>
      <c r="H74" s="41">
        <v>100</v>
      </c>
      <c r="I74" s="41">
        <v>100</v>
      </c>
      <c r="J74" s="41">
        <v>100</v>
      </c>
      <c r="K74" s="41">
        <v>100</v>
      </c>
      <c r="L74" s="41">
        <v>100</v>
      </c>
      <c r="M74" s="41">
        <v>100</v>
      </c>
      <c r="N74" s="41">
        <v>100</v>
      </c>
      <c r="O74" s="41">
        <v>100</v>
      </c>
      <c r="P74" s="41">
        <v>100</v>
      </c>
      <c r="Q74" s="41">
        <v>100</v>
      </c>
      <c r="R74" s="41">
        <v>100.56236469137775</v>
      </c>
      <c r="S74" s="41">
        <v>99.398746636944296</v>
      </c>
      <c r="T74" s="41">
        <v>99.398746636944296</v>
      </c>
      <c r="U74" s="41">
        <v>99.398746636944296</v>
      </c>
      <c r="V74" s="41">
        <v>99.398746636944296</v>
      </c>
      <c r="W74" s="41">
        <v>99.398746636944296</v>
      </c>
      <c r="X74" s="41">
        <v>99.398746636944296</v>
      </c>
      <c r="Y74" s="41">
        <v>99.398746636944296</v>
      </c>
      <c r="Z74" s="41">
        <v>99.398746636944296</v>
      </c>
      <c r="AA74" s="41">
        <v>99.398746636944296</v>
      </c>
      <c r="AB74" s="41">
        <v>99.398746636944296</v>
      </c>
      <c r="AC74" s="41">
        <v>99.398746636944296</v>
      </c>
      <c r="AD74" s="41">
        <v>99.832750352940138</v>
      </c>
      <c r="AE74" s="41">
        <v>99.913677523588632</v>
      </c>
      <c r="AF74" s="41">
        <v>99.913677523588632</v>
      </c>
      <c r="AG74" s="41">
        <v>99.913677523588632</v>
      </c>
      <c r="AH74" s="41">
        <v>99.913677523588632</v>
      </c>
      <c r="AI74" s="41">
        <v>99.913677523588632</v>
      </c>
      <c r="AJ74" s="41">
        <v>99.913677523588632</v>
      </c>
      <c r="AK74" s="41">
        <v>99.913677523588632</v>
      </c>
      <c r="AL74" s="41">
        <v>99.913677523588632</v>
      </c>
      <c r="AM74" s="41">
        <v>99.913677523588632</v>
      </c>
      <c r="AN74" s="41">
        <v>99.913677523588632</v>
      </c>
      <c r="AO74" s="41">
        <v>99.913677523588632</v>
      </c>
      <c r="AP74" s="41">
        <v>99.913677523588632</v>
      </c>
      <c r="AQ74" s="41">
        <v>99.913677523588632</v>
      </c>
      <c r="AR74" s="41">
        <v>99.913677523588632</v>
      </c>
      <c r="AS74" s="41">
        <v>99.913677523588632</v>
      </c>
      <c r="AT74" s="41">
        <v>99.913677523588632</v>
      </c>
      <c r="AU74" s="41">
        <v>99.913677523588632</v>
      </c>
      <c r="AV74" s="41">
        <v>99.913677523588632</v>
      </c>
      <c r="AW74" s="41">
        <v>99.913677523588632</v>
      </c>
      <c r="AX74" s="41">
        <v>99.913677523588632</v>
      </c>
      <c r="AY74" s="41">
        <v>99.913677523588632</v>
      </c>
      <c r="AZ74" s="41">
        <v>99.913677523588632</v>
      </c>
      <c r="BA74" s="41">
        <v>99.913677523588632</v>
      </c>
      <c r="BB74" s="41">
        <v>99.913677523588632</v>
      </c>
      <c r="BC74" s="41">
        <v>99.913677523588632</v>
      </c>
      <c r="BD74" s="41">
        <v>99.913677523588632</v>
      </c>
      <c r="BE74" s="41">
        <v>99.913677523588632</v>
      </c>
      <c r="BF74" s="41">
        <v>99.913677523588632</v>
      </c>
      <c r="BG74" s="41">
        <v>99.913677523588632</v>
      </c>
      <c r="BH74" s="41">
        <v>99.913677523588632</v>
      </c>
      <c r="BI74" s="41">
        <v>99.913677523588632</v>
      </c>
      <c r="BJ74" s="41">
        <v>99.913677523588632</v>
      </c>
      <c r="BK74" s="41">
        <v>99.913677523588632</v>
      </c>
      <c r="BL74" s="41">
        <v>99.913677523588632</v>
      </c>
      <c r="BM74" s="41">
        <v>99.913677523588632</v>
      </c>
      <c r="BN74" s="41">
        <v>99.913677523588632</v>
      </c>
      <c r="BO74" s="41">
        <v>99.913677523588632</v>
      </c>
      <c r="BP74" s="41">
        <v>99.913677523588632</v>
      </c>
      <c r="BQ74" s="41">
        <v>99.913677523588632</v>
      </c>
      <c r="BR74" s="41">
        <v>99.913677523588632</v>
      </c>
      <c r="BS74" s="41">
        <v>99.913677523588632</v>
      </c>
      <c r="BT74" s="41">
        <v>99.913677523588632</v>
      </c>
      <c r="BU74" s="41">
        <v>99.913677523588632</v>
      </c>
      <c r="BV74" s="41">
        <v>99.913677523588632</v>
      </c>
      <c r="BW74" s="41">
        <v>99.913677523588632</v>
      </c>
      <c r="BX74" s="41">
        <v>99.913677523588632</v>
      </c>
      <c r="BY74" s="41">
        <v>99.913677523588632</v>
      </c>
      <c r="BZ74" s="41">
        <v>99.913677523588632</v>
      </c>
      <c r="CA74" s="41">
        <v>99.913677523588632</v>
      </c>
      <c r="CB74" s="41">
        <v>99.913677523588632</v>
      </c>
      <c r="CC74" s="41">
        <v>99.913677523588632</v>
      </c>
      <c r="CD74" s="41">
        <v>99.913677523588632</v>
      </c>
      <c r="CE74" s="41">
        <v>99.913677523588632</v>
      </c>
      <c r="CF74" s="41">
        <v>99.913677523588632</v>
      </c>
      <c r="CG74" s="41">
        <v>99.913677523588632</v>
      </c>
      <c r="CH74" s="41">
        <v>99.913677523588632</v>
      </c>
      <c r="CI74" s="41">
        <v>99.913677523588632</v>
      </c>
      <c r="CJ74" s="41">
        <v>99.913677523588632</v>
      </c>
      <c r="CK74" s="41">
        <v>99.913677523588632</v>
      </c>
      <c r="CL74" s="41">
        <v>99.913677523588632</v>
      </c>
      <c r="CM74" s="41">
        <v>99.913677523588632</v>
      </c>
      <c r="CN74" s="41">
        <v>99.913677523588632</v>
      </c>
      <c r="CO74" s="41">
        <v>99.913677523588632</v>
      </c>
      <c r="CP74" s="41">
        <v>99.913677523588632</v>
      </c>
      <c r="CQ74" s="41">
        <v>99.913677523588632</v>
      </c>
      <c r="CR74" s="41">
        <v>99.913677523588632</v>
      </c>
      <c r="CS74" s="41">
        <v>99.913677523588632</v>
      </c>
      <c r="CT74" s="41">
        <v>99.913677523588632</v>
      </c>
      <c r="CU74" s="41">
        <v>99.913677523588632</v>
      </c>
      <c r="CV74" s="41">
        <v>99.913677523588632</v>
      </c>
      <c r="CW74" s="41">
        <v>99.913677523588632</v>
      </c>
      <c r="CX74" s="41">
        <v>99.913677523588632</v>
      </c>
      <c r="CY74" s="41">
        <v>99.913677523588632</v>
      </c>
      <c r="CZ74" s="41">
        <v>99.913677523588632</v>
      </c>
      <c r="DA74" s="41">
        <v>99.913677523588632</v>
      </c>
      <c r="DB74" s="41">
        <v>99.913677523588632</v>
      </c>
      <c r="DC74" s="41">
        <v>99.913677523588632</v>
      </c>
      <c r="DD74" s="41">
        <v>99.913677523588632</v>
      </c>
      <c r="DE74" s="41">
        <v>99.913677523588632</v>
      </c>
      <c r="DF74" s="41">
        <v>99.913677523588632</v>
      </c>
      <c r="DG74" s="41">
        <v>99.913677523588632</v>
      </c>
      <c r="DH74" s="41">
        <v>104.10541872629467</v>
      </c>
      <c r="DI74" s="41">
        <v>104.10541872629467</v>
      </c>
      <c r="DJ74" s="41">
        <v>104.10541872629467</v>
      </c>
      <c r="DK74" s="41">
        <v>104.10541872629467</v>
      </c>
      <c r="DL74" s="41">
        <v>104.10541872629467</v>
      </c>
      <c r="DM74" s="41">
        <v>104.10541872629467</v>
      </c>
      <c r="DN74" s="41">
        <v>104.10541872629467</v>
      </c>
      <c r="DO74" s="41">
        <v>104.10541872629467</v>
      </c>
      <c r="DP74" s="41">
        <v>104.10541872629467</v>
      </c>
      <c r="DQ74" s="41">
        <v>104.10541872629467</v>
      </c>
      <c r="DR74" s="41">
        <v>104.10541872629467</v>
      </c>
    </row>
    <row r="75" spans="1:122" s="42" customFormat="1" x14ac:dyDescent="0.35">
      <c r="C75" s="31" t="s">
        <v>133</v>
      </c>
      <c r="D75" s="40" t="s">
        <v>134</v>
      </c>
      <c r="E75" s="102">
        <v>0.27378807728987098</v>
      </c>
      <c r="F75" s="41">
        <v>100</v>
      </c>
      <c r="G75" s="41">
        <v>100</v>
      </c>
      <c r="H75" s="41">
        <v>100</v>
      </c>
      <c r="I75" s="41">
        <v>100</v>
      </c>
      <c r="J75" s="41">
        <v>100</v>
      </c>
      <c r="K75" s="41">
        <v>100</v>
      </c>
      <c r="L75" s="41">
        <v>100</v>
      </c>
      <c r="M75" s="41">
        <v>100</v>
      </c>
      <c r="N75" s="41">
        <v>100</v>
      </c>
      <c r="O75" s="41">
        <v>100</v>
      </c>
      <c r="P75" s="41">
        <v>100</v>
      </c>
      <c r="Q75" s="41">
        <v>100</v>
      </c>
      <c r="R75" s="41">
        <v>100.78819508553121</v>
      </c>
      <c r="S75" s="41">
        <v>99.159258727553222</v>
      </c>
      <c r="T75" s="41">
        <v>99.159258727553222</v>
      </c>
      <c r="U75" s="41">
        <v>99.159258727553222</v>
      </c>
      <c r="V75" s="41">
        <v>99.159258727553222</v>
      </c>
      <c r="W75" s="41">
        <v>99.159258727553222</v>
      </c>
      <c r="X75" s="41">
        <v>99.159258727553222</v>
      </c>
      <c r="Y75" s="41">
        <v>99.159258727553222</v>
      </c>
      <c r="Z75" s="41">
        <v>99.159258727553222</v>
      </c>
      <c r="AA75" s="41">
        <v>99.159258727553222</v>
      </c>
      <c r="AB75" s="41">
        <v>99.159258727553222</v>
      </c>
      <c r="AC75" s="41">
        <v>99.159258727553222</v>
      </c>
      <c r="AD75" s="41">
        <v>99.76592884317715</v>
      </c>
      <c r="AE75" s="41">
        <v>99.879169401023319</v>
      </c>
      <c r="AF75" s="41">
        <v>99.879169401023319</v>
      </c>
      <c r="AG75" s="41">
        <v>99.879169401023319</v>
      </c>
      <c r="AH75" s="41">
        <v>99.879169401023319</v>
      </c>
      <c r="AI75" s="41">
        <v>99.879169401023319</v>
      </c>
      <c r="AJ75" s="41">
        <v>99.879169401023319</v>
      </c>
      <c r="AK75" s="41">
        <v>99.879169401023319</v>
      </c>
      <c r="AL75" s="41">
        <v>99.879169401023319</v>
      </c>
      <c r="AM75" s="41">
        <v>99.879169401023319</v>
      </c>
      <c r="AN75" s="41">
        <v>99.879169401023319</v>
      </c>
      <c r="AO75" s="41">
        <v>99.879169401023319</v>
      </c>
      <c r="AP75" s="41">
        <v>99.879169401023319</v>
      </c>
      <c r="AQ75" s="41">
        <v>99.879169401023319</v>
      </c>
      <c r="AR75" s="41">
        <v>99.879169401023319</v>
      </c>
      <c r="AS75" s="41">
        <v>99.879169401023319</v>
      </c>
      <c r="AT75" s="41">
        <v>99.879169401023319</v>
      </c>
      <c r="AU75" s="41">
        <v>99.879169401023319</v>
      </c>
      <c r="AV75" s="41">
        <v>99.879169401023319</v>
      </c>
      <c r="AW75" s="41">
        <v>99.879169401023319</v>
      </c>
      <c r="AX75" s="41">
        <v>99.879169401023319</v>
      </c>
      <c r="AY75" s="41">
        <v>99.879169401023319</v>
      </c>
      <c r="AZ75" s="41">
        <v>99.879169401023319</v>
      </c>
      <c r="BA75" s="41">
        <v>110.6228064201679</v>
      </c>
      <c r="BB75" s="41">
        <v>110.6228064201679</v>
      </c>
      <c r="BC75" s="41">
        <v>110.6228064201679</v>
      </c>
      <c r="BD75" s="41">
        <v>110.6228064201679</v>
      </c>
      <c r="BE75" s="41">
        <v>110.6228064201679</v>
      </c>
      <c r="BF75" s="41">
        <v>110.6228064201679</v>
      </c>
      <c r="BG75" s="41">
        <v>110.6228064201679</v>
      </c>
      <c r="BH75" s="41">
        <v>110.6228064201679</v>
      </c>
      <c r="BI75" s="41">
        <v>110.6228064201679</v>
      </c>
      <c r="BJ75" s="41">
        <v>110.6228064201679</v>
      </c>
      <c r="BK75" s="41">
        <v>110.6228064201679</v>
      </c>
      <c r="BL75" s="41">
        <v>110.6228064201679</v>
      </c>
      <c r="BM75" s="41">
        <v>110.6228064201679</v>
      </c>
      <c r="BN75" s="41">
        <v>110.6228064201679</v>
      </c>
      <c r="BO75" s="41">
        <v>110.6228064201679</v>
      </c>
      <c r="BP75" s="41">
        <v>110.6228064201679</v>
      </c>
      <c r="BQ75" s="41">
        <v>110.6228064201679</v>
      </c>
      <c r="BR75" s="41">
        <v>110.6228064201679</v>
      </c>
      <c r="BS75" s="41">
        <v>110.6228064201679</v>
      </c>
      <c r="BT75" s="41">
        <v>110.6228064201679</v>
      </c>
      <c r="BU75" s="41">
        <v>110.6228064201679</v>
      </c>
      <c r="BV75" s="41">
        <v>110.6228064201679</v>
      </c>
      <c r="BW75" s="41">
        <v>110.6228064201679</v>
      </c>
      <c r="BX75" s="41">
        <v>110.6228064201679</v>
      </c>
      <c r="BY75" s="41">
        <v>110.6228064201679</v>
      </c>
      <c r="BZ75" s="41">
        <v>110.6228064201679</v>
      </c>
      <c r="CA75" s="41">
        <v>110.6228064201679</v>
      </c>
      <c r="CB75" s="41">
        <v>110.6228064201679</v>
      </c>
      <c r="CC75" s="41">
        <v>110.6228064201679</v>
      </c>
      <c r="CD75" s="41">
        <v>110.6228064201679</v>
      </c>
      <c r="CE75" s="41">
        <v>110.6228064201679</v>
      </c>
      <c r="CF75" s="41">
        <v>110.6228064201679</v>
      </c>
      <c r="CG75" s="41">
        <v>110.6228064201679</v>
      </c>
      <c r="CH75" s="41">
        <v>110.6228064201679</v>
      </c>
      <c r="CI75" s="41">
        <v>110.6228064201679</v>
      </c>
      <c r="CJ75" s="41">
        <v>110.6228064201679</v>
      </c>
      <c r="CK75" s="41">
        <v>110.6228064201679</v>
      </c>
      <c r="CL75" s="41">
        <v>110.6228064201679</v>
      </c>
      <c r="CM75" s="41">
        <v>110.6228064201679</v>
      </c>
      <c r="CN75" s="41">
        <v>110.6228064201679</v>
      </c>
      <c r="CO75" s="41">
        <v>110.6228064201679</v>
      </c>
      <c r="CP75" s="41">
        <v>110.6228064201679</v>
      </c>
      <c r="CQ75" s="41">
        <v>110.6228064201679</v>
      </c>
      <c r="CR75" s="41">
        <v>110.6228064201679</v>
      </c>
      <c r="CS75" s="41">
        <v>110.6228064201679</v>
      </c>
      <c r="CT75" s="41">
        <v>110.6228064201679</v>
      </c>
      <c r="CU75" s="41">
        <v>110.6228064201679</v>
      </c>
      <c r="CV75" s="41">
        <v>110.6228064201679</v>
      </c>
      <c r="CW75" s="41">
        <v>110.6228064201679</v>
      </c>
      <c r="CX75" s="41">
        <v>110.6228064201679</v>
      </c>
      <c r="CY75" s="41">
        <v>110.6228064201679</v>
      </c>
      <c r="CZ75" s="41">
        <v>110.6228064201679</v>
      </c>
      <c r="DA75" s="41">
        <v>110.6228064201679</v>
      </c>
      <c r="DB75" s="41">
        <v>110.6228064201679</v>
      </c>
      <c r="DC75" s="41">
        <v>110.6228064201679</v>
      </c>
      <c r="DD75" s="41">
        <v>110.6228064201679</v>
      </c>
      <c r="DE75" s="41">
        <v>110.6228064201679</v>
      </c>
      <c r="DF75" s="41">
        <v>110.6228064201679</v>
      </c>
      <c r="DG75" s="41">
        <v>110.6228064201679</v>
      </c>
      <c r="DH75" s="41">
        <v>110.6228064201679</v>
      </c>
      <c r="DI75" s="41">
        <v>110.6228064201679</v>
      </c>
      <c r="DJ75" s="41">
        <v>110.6228064201679</v>
      </c>
      <c r="DK75" s="41">
        <v>110.6228064201679</v>
      </c>
      <c r="DL75" s="41">
        <v>110.6228064201679</v>
      </c>
      <c r="DM75" s="41">
        <v>110.6228064201679</v>
      </c>
      <c r="DN75" s="41">
        <v>110.6228064201679</v>
      </c>
      <c r="DO75" s="41">
        <v>110.6228064201679</v>
      </c>
      <c r="DP75" s="41">
        <v>110.6228064201679</v>
      </c>
      <c r="DQ75" s="41">
        <v>110.6228064201679</v>
      </c>
      <c r="DR75" s="41">
        <v>110.6228064201679</v>
      </c>
    </row>
    <row r="77" spans="1:122" x14ac:dyDescent="0.35">
      <c r="E77" s="110">
        <v>1000.0000000000002</v>
      </c>
    </row>
  </sheetData>
  <mergeCells count="1">
    <mergeCell ref="A1:C1"/>
  </mergeCells>
  <conditionalFormatting sqref="D59:D60">
    <cfRule type="colorScale" priority="15">
      <colorScale>
        <cfvo type="min"/>
        <cfvo type="max"/>
        <color theme="9" tint="0.39994506668294322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:D61 F61 H61:HN61">
    <cfRule type="colorScale" priority="17">
      <colorScale>
        <cfvo type="min"/>
        <cfvo type="max"/>
        <color theme="9" tint="0.39994506668294322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C60C-35F6-4D27-B03A-3867ED113109}">
  <dimension ref="A1:CT80"/>
  <sheetViews>
    <sheetView topLeftCell="C59" workbookViewId="0">
      <pane xSplit="3" topLeftCell="CR1" activePane="topRight" state="frozen"/>
      <selection activeCell="C1" sqref="C1"/>
      <selection pane="topRight" activeCell="CT3" sqref="CT3:CT75"/>
    </sheetView>
  </sheetViews>
  <sheetFormatPr defaultRowHeight="14.5" x14ac:dyDescent="0.35"/>
  <cols>
    <col min="1" max="1" width="9.1796875" style="80"/>
    <col min="3" max="3" width="18.26953125" customWidth="1"/>
    <col min="4" max="4" width="104.54296875" bestFit="1" customWidth="1"/>
    <col min="5" max="5" width="10.453125" style="111" bestFit="1" customWidth="1"/>
  </cols>
  <sheetData>
    <row r="1" spans="1:98" ht="15.5" x14ac:dyDescent="0.35">
      <c r="A1" s="112" t="s">
        <v>59</v>
      </c>
      <c r="B1" s="112"/>
      <c r="C1" s="112"/>
      <c r="D1" s="3" t="s">
        <v>11</v>
      </c>
      <c r="E1" s="99" t="s">
        <v>2</v>
      </c>
      <c r="F1" s="5">
        <v>43282</v>
      </c>
      <c r="G1" s="5">
        <v>43313</v>
      </c>
      <c r="H1" s="5">
        <v>43344</v>
      </c>
      <c r="I1" s="5">
        <v>43374</v>
      </c>
      <c r="J1" s="5">
        <v>43405</v>
      </c>
      <c r="K1" s="5">
        <v>43435</v>
      </c>
      <c r="L1" s="5">
        <v>43466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5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5">
        <v>44927</v>
      </c>
      <c r="BI1" s="5">
        <v>44958</v>
      </c>
      <c r="BJ1" s="5">
        <v>44986</v>
      </c>
      <c r="BK1" s="5">
        <v>45017</v>
      </c>
      <c r="BL1" s="5">
        <v>45047</v>
      </c>
      <c r="BM1" s="5">
        <v>45078</v>
      </c>
      <c r="BN1" s="5">
        <v>45108</v>
      </c>
      <c r="BO1" s="5">
        <v>45139</v>
      </c>
      <c r="BP1" s="5">
        <v>45170</v>
      </c>
      <c r="BQ1" s="5">
        <v>45200</v>
      </c>
      <c r="BR1" s="5">
        <v>45231</v>
      </c>
      <c r="BS1" s="5">
        <v>45261</v>
      </c>
      <c r="BT1" s="5">
        <v>45292</v>
      </c>
      <c r="BU1" s="5">
        <v>45323</v>
      </c>
      <c r="BV1" s="5">
        <v>45352</v>
      </c>
      <c r="BW1" s="5">
        <v>45383</v>
      </c>
      <c r="BX1" s="5">
        <v>45413</v>
      </c>
      <c r="BY1" s="5">
        <v>45444</v>
      </c>
      <c r="BZ1" s="5">
        <v>45474</v>
      </c>
      <c r="CA1" s="5">
        <v>45505</v>
      </c>
      <c r="CB1" s="5">
        <v>45536</v>
      </c>
      <c r="CC1" s="5">
        <v>45566</v>
      </c>
      <c r="CD1" s="5">
        <v>45597</v>
      </c>
      <c r="CE1" s="5">
        <v>45627</v>
      </c>
      <c r="CF1" s="5">
        <v>45658</v>
      </c>
      <c r="CG1" s="5">
        <v>45689</v>
      </c>
      <c r="CH1" s="5">
        <v>45717</v>
      </c>
      <c r="CI1" s="5">
        <v>45748</v>
      </c>
      <c r="CJ1" s="5">
        <v>45778</v>
      </c>
      <c r="CK1" s="5">
        <v>45809</v>
      </c>
      <c r="CL1" s="5">
        <v>45839</v>
      </c>
      <c r="CM1" s="5">
        <v>45870</v>
      </c>
      <c r="CN1" s="5">
        <v>45901</v>
      </c>
      <c r="CO1" s="5">
        <v>45931</v>
      </c>
      <c r="CP1" s="5">
        <v>45962</v>
      </c>
      <c r="CQ1" s="5">
        <v>45992</v>
      </c>
      <c r="CR1" s="5">
        <v>46023</v>
      </c>
      <c r="CS1" s="5">
        <v>46054</v>
      </c>
      <c r="CT1" s="5">
        <v>46082</v>
      </c>
    </row>
    <row r="2" spans="1:98" ht="15.5" x14ac:dyDescent="0.35">
      <c r="A2" s="82" t="s">
        <v>10</v>
      </c>
      <c r="B2" s="21" t="s">
        <v>60</v>
      </c>
      <c r="C2" s="22" t="s">
        <v>61</v>
      </c>
      <c r="D2" s="21" t="s">
        <v>6</v>
      </c>
      <c r="E2" s="100">
        <f>SUM(E3,E16,E21,E23,E26,E28,E30,E32,E36,E38,E42,E44,E46,E50,E52,E54,E57)</f>
        <v>886.44399108473317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</row>
    <row r="3" spans="1:98" ht="15.5" x14ac:dyDescent="0.35">
      <c r="A3" s="83">
        <v>10</v>
      </c>
      <c r="B3" s="28"/>
      <c r="C3" s="27"/>
      <c r="D3" s="29" t="s">
        <v>12</v>
      </c>
      <c r="E3" s="101">
        <f>SUM(E4:E15)</f>
        <v>358.35505688192308</v>
      </c>
      <c r="F3" s="70">
        <v>-0.30681146036030116</v>
      </c>
      <c r="G3" s="70">
        <v>-1.0406027249032501E-2</v>
      </c>
      <c r="H3" s="70">
        <v>0.15796322219661096</v>
      </c>
      <c r="I3" s="70">
        <v>-1.0394166998819676</v>
      </c>
      <c r="J3" s="70">
        <v>-0.71601348268286458</v>
      </c>
      <c r="K3" s="70">
        <v>2.0746611963057493</v>
      </c>
      <c r="L3" s="70">
        <v>2.7690904793181703</v>
      </c>
      <c r="M3" s="70">
        <v>2.1384651693926449</v>
      </c>
      <c r="N3" s="70">
        <v>1.8940395705127289</v>
      </c>
      <c r="O3" s="70">
        <v>1.9581483663241084</v>
      </c>
      <c r="P3" s="70">
        <v>1.3156764831357304</v>
      </c>
      <c r="Q3" s="70">
        <v>0.30571966371233383</v>
      </c>
      <c r="R3" s="70">
        <v>-0.73794585979206628</v>
      </c>
      <c r="S3" s="70">
        <v>-1.6771028821161216</v>
      </c>
      <c r="T3" s="70">
        <v>-1.0486829852444757</v>
      </c>
      <c r="U3" s="70">
        <v>-0.56085412772276522</v>
      </c>
      <c r="V3" s="70">
        <v>1.1348622976705247</v>
      </c>
      <c r="W3" s="70">
        <v>2.7955934903955759</v>
      </c>
      <c r="X3" s="70">
        <v>4.8570162952894513</v>
      </c>
      <c r="Y3" s="70">
        <v>5.0184672350243043</v>
      </c>
      <c r="Z3" s="70">
        <v>6.434751279473816</v>
      </c>
      <c r="AA3" s="70">
        <v>5.7252732942959961</v>
      </c>
      <c r="AB3" s="70">
        <v>4.6942297498506758</v>
      </c>
      <c r="AC3" s="70">
        <v>5.7583606368147189</v>
      </c>
      <c r="AD3" s="70">
        <v>6.6768975982538947</v>
      </c>
      <c r="AE3" s="70">
        <v>6.1983961294157508</v>
      </c>
      <c r="AF3" s="70">
        <v>4.63764055814746</v>
      </c>
      <c r="AG3" s="70">
        <v>5.3208772378945168</v>
      </c>
      <c r="AH3" s="70">
        <v>4.1795800424718532</v>
      </c>
      <c r="AI3" s="70">
        <v>3.7505945656757023</v>
      </c>
      <c r="AJ3" s="70">
        <v>3.9237888164202372</v>
      </c>
      <c r="AK3" s="70">
        <v>5.092857019161956</v>
      </c>
      <c r="AL3" s="70">
        <v>5.2490385081336299</v>
      </c>
      <c r="AM3" s="70">
        <v>5.5460518111868584</v>
      </c>
      <c r="AN3" s="70">
        <v>6.6748166348632232</v>
      </c>
      <c r="AO3" s="70">
        <v>5.6908623553159732</v>
      </c>
      <c r="AP3" s="70">
        <v>6.5458353618064402</v>
      </c>
      <c r="AQ3" s="70">
        <v>6.9955218797653762</v>
      </c>
      <c r="AR3" s="70">
        <v>6.8403654208590625</v>
      </c>
      <c r="AS3" s="70">
        <v>7.9637558598226965</v>
      </c>
      <c r="AT3" s="70">
        <v>10.332477860128964</v>
      </c>
      <c r="AU3" s="70">
        <v>9.6294123770062967</v>
      </c>
      <c r="AV3" s="70">
        <v>8.5241079886753557</v>
      </c>
      <c r="AW3" s="70">
        <v>7.7697854983830084</v>
      </c>
      <c r="AX3" s="70">
        <v>7.2047233196305349</v>
      </c>
      <c r="AY3" s="70">
        <v>9.7496760126432047</v>
      </c>
      <c r="AZ3" s="70">
        <v>9.0940605725051693</v>
      </c>
      <c r="BA3" s="70">
        <v>11.826170154760351</v>
      </c>
      <c r="BB3" s="70">
        <v>11.109822779243551</v>
      </c>
      <c r="BC3" s="70">
        <v>10.132129516160958</v>
      </c>
      <c r="BD3" s="70">
        <v>12.761711898996309</v>
      </c>
      <c r="BE3" s="70">
        <v>10.200171593090147</v>
      </c>
      <c r="BF3" s="70">
        <v>7.8703043511924031</v>
      </c>
      <c r="BG3" s="70">
        <v>7.0187003709121232</v>
      </c>
      <c r="BH3" s="70">
        <v>6.8120595589847399</v>
      </c>
      <c r="BI3" s="70">
        <v>6.3693348973394182</v>
      </c>
      <c r="BJ3" s="70">
        <v>5.1744415928372867</v>
      </c>
      <c r="BK3" s="70">
        <v>3.2278590614872149</v>
      </c>
      <c r="BL3" s="70">
        <v>2.7793699993513998</v>
      </c>
      <c r="BM3" s="70">
        <v>0.19940254673627145</v>
      </c>
      <c r="BN3" s="70">
        <v>-1.0718677216137174E-2</v>
      </c>
      <c r="BO3" s="70">
        <v>0.44614098365398647</v>
      </c>
      <c r="BP3" s="70">
        <v>-0.89377004788977477</v>
      </c>
      <c r="BQ3" s="70">
        <v>-0.77022505250172735</v>
      </c>
      <c r="BR3" s="70">
        <v>-0.65796174780474725</v>
      </c>
      <c r="BS3" s="70">
        <v>-0.61592207170311219</v>
      </c>
      <c r="BT3" s="70">
        <v>-0.20437671393577217</v>
      </c>
      <c r="BU3" s="70">
        <v>0.72425835725407062</v>
      </c>
      <c r="BV3" s="70">
        <v>0.82443096234714464</v>
      </c>
      <c r="BW3" s="70">
        <v>-0.49322732458743079</v>
      </c>
      <c r="BX3" s="70">
        <v>0.15421169779905597</v>
      </c>
      <c r="BY3" s="70">
        <v>0.82395345181398572</v>
      </c>
      <c r="BZ3" s="70">
        <v>0.9528370967715194</v>
      </c>
      <c r="CA3" s="70">
        <v>0.47426741033953501</v>
      </c>
      <c r="CB3" s="70">
        <v>-0.32776377986388772</v>
      </c>
      <c r="CC3" s="70">
        <v>0.42795147771348407</v>
      </c>
      <c r="CD3" s="70">
        <v>1.3951613779489502</v>
      </c>
      <c r="CE3" s="70">
        <v>2.8934967404789846</v>
      </c>
      <c r="CF3" s="70">
        <v>3.5739600325169985</v>
      </c>
      <c r="CG3" s="70">
        <v>3.3056614546424168</v>
      </c>
      <c r="CH3" s="70">
        <v>4.2550436449844797</v>
      </c>
      <c r="CI3" s="70">
        <v>4.6611321638057923</v>
      </c>
      <c r="CJ3" s="70">
        <v>5.3242242200589596</v>
      </c>
      <c r="CK3" s="70">
        <v>5.1876263510413523</v>
      </c>
      <c r="CL3" s="70">
        <v>5.0445906722620171</v>
      </c>
      <c r="CM3" s="70">
        <v>4.701588047359162</v>
      </c>
      <c r="CN3" s="70">
        <v>5.2506116893778598</v>
      </c>
      <c r="CO3" s="70">
        <v>4.6995132024574726</v>
      </c>
      <c r="CP3" s="70">
        <v>3.6947384762046509</v>
      </c>
      <c r="CQ3" s="70">
        <v>2.94080607547762</v>
      </c>
      <c r="CR3" s="70">
        <v>1.8620255159840893</v>
      </c>
      <c r="CS3" s="70">
        <v>1.9609561922723895</v>
      </c>
      <c r="CT3" s="70">
        <v>0.91577365156971791</v>
      </c>
    </row>
    <row r="4" spans="1:98" ht="15.5" x14ac:dyDescent="0.35">
      <c r="A4" s="88"/>
      <c r="B4" s="30">
        <v>101</v>
      </c>
      <c r="C4" s="31" t="s">
        <v>135</v>
      </c>
      <c r="D4" s="34" t="s">
        <v>62</v>
      </c>
      <c r="E4" s="102">
        <f>VLOOKUP(C4,[1]CLASSI_EAI!A:G,7,FALSE)</f>
        <v>74.87264098835</v>
      </c>
      <c r="F4" s="72">
        <v>7.7135630902215757</v>
      </c>
      <c r="G4" s="72">
        <v>9.8712155972882307</v>
      </c>
      <c r="H4" s="72">
        <v>9.8058577241662448</v>
      </c>
      <c r="I4" s="72">
        <v>9.4685881938628036</v>
      </c>
      <c r="J4" s="72">
        <v>7.8712717015146705</v>
      </c>
      <c r="K4" s="72">
        <v>8.3609298212337535</v>
      </c>
      <c r="L4" s="72">
        <v>7.5126613603067938</v>
      </c>
      <c r="M4" s="72">
        <v>8.3040001351114547</v>
      </c>
      <c r="N4" s="72">
        <v>6.9795300329519527</v>
      </c>
      <c r="O4" s="72">
        <v>7.4099455129852831</v>
      </c>
      <c r="P4" s="72">
        <v>6.602049305214841</v>
      </c>
      <c r="Q4" s="72">
        <v>5.9569174489525034</v>
      </c>
      <c r="R4" s="72">
        <v>5.920708605449776</v>
      </c>
      <c r="S4" s="72">
        <v>3.062505587711617</v>
      </c>
      <c r="T4" s="72">
        <v>3.6411754347247083</v>
      </c>
      <c r="U4" s="72">
        <v>3.004190254716832</v>
      </c>
      <c r="V4" s="72">
        <v>4.5638624294209063</v>
      </c>
      <c r="W4" s="72">
        <v>4.1559264694139619</v>
      </c>
      <c r="X4" s="72">
        <v>5.9651242330471144</v>
      </c>
      <c r="Y4" s="72">
        <v>5.6418274086773135</v>
      </c>
      <c r="Z4" s="72">
        <v>6.9290736697779742</v>
      </c>
      <c r="AA4" s="72">
        <v>8.4711625147203762</v>
      </c>
      <c r="AB4" s="72">
        <v>10.972419919386866</v>
      </c>
      <c r="AC4" s="72">
        <v>12.24750609126637</v>
      </c>
      <c r="AD4" s="72">
        <v>10.887015733036275</v>
      </c>
      <c r="AE4" s="72">
        <v>11.6624657482167</v>
      </c>
      <c r="AF4" s="72">
        <v>11.189201985201723</v>
      </c>
      <c r="AG4" s="72">
        <v>12.349701916546895</v>
      </c>
      <c r="AH4" s="72">
        <v>10.792043532488016</v>
      </c>
      <c r="AI4" s="72">
        <v>10.780028931141118</v>
      </c>
      <c r="AJ4" s="72">
        <v>8.1311707578558323</v>
      </c>
      <c r="AK4" s="72">
        <v>8.7221978959131974</v>
      </c>
      <c r="AL4" s="72">
        <v>7.5222233929260973</v>
      </c>
      <c r="AM4" s="72">
        <v>5.1820556753406466</v>
      </c>
      <c r="AN4" s="72">
        <v>4.4729808366505974</v>
      </c>
      <c r="AO4" s="72">
        <v>3.9627846177233472</v>
      </c>
      <c r="AP4" s="72">
        <v>3.0207935789748674</v>
      </c>
      <c r="AQ4" s="72">
        <v>2.1601771762713273</v>
      </c>
      <c r="AR4" s="72">
        <v>2.2851361463588793</v>
      </c>
      <c r="AS4" s="72">
        <v>0.32290157772503214</v>
      </c>
      <c r="AT4" s="72">
        <v>1.757473502695106</v>
      </c>
      <c r="AU4" s="72">
        <v>1.5734284845912327</v>
      </c>
      <c r="AV4" s="72">
        <v>2.1642037820088555</v>
      </c>
      <c r="AW4" s="72">
        <v>1.2572773893319678</v>
      </c>
      <c r="AX4" s="72">
        <v>0.88887981695087159</v>
      </c>
      <c r="AY4" s="72">
        <v>1.9771475901862567</v>
      </c>
      <c r="AZ4" s="72">
        <v>2.3157179470445932</v>
      </c>
      <c r="BA4" s="72">
        <v>2.1720502668332253</v>
      </c>
      <c r="BB4" s="72">
        <v>3.29162774285785</v>
      </c>
      <c r="BC4" s="72">
        <v>2.1188795399231131</v>
      </c>
      <c r="BD4" s="72">
        <v>1.6099940208152752</v>
      </c>
      <c r="BE4" s="72">
        <v>2.1961638534406802</v>
      </c>
      <c r="BF4" s="72">
        <v>1.7801374202579101</v>
      </c>
      <c r="BG4" s="72">
        <v>2.6045451076963433</v>
      </c>
      <c r="BH4" s="72">
        <v>1.8608280677002043</v>
      </c>
      <c r="BI4" s="72">
        <v>2.858658672921921</v>
      </c>
      <c r="BJ4" s="72">
        <v>2.9740219534528878</v>
      </c>
      <c r="BK4" s="72">
        <v>2.745941897805726</v>
      </c>
      <c r="BL4" s="72">
        <v>1.6410664745847514</v>
      </c>
      <c r="BM4" s="72">
        <v>1.6381360477709883</v>
      </c>
      <c r="BN4" s="72">
        <v>1.8490765802644749</v>
      </c>
      <c r="BO4" s="72">
        <v>2.0794777536339071</v>
      </c>
      <c r="BP4" s="72">
        <v>2.4607114939958263</v>
      </c>
      <c r="BQ4" s="72">
        <v>2.4417275724995857</v>
      </c>
      <c r="BR4" s="72">
        <v>2.0135984305561738</v>
      </c>
      <c r="BS4" s="72">
        <v>0.97669909516922004</v>
      </c>
      <c r="BT4" s="72">
        <v>8.6986105873025252</v>
      </c>
      <c r="BU4" s="72">
        <v>11.193072246508784</v>
      </c>
      <c r="BV4" s="72">
        <v>14.098694188108606</v>
      </c>
      <c r="BW4" s="72">
        <v>11.724847076904709</v>
      </c>
      <c r="BX4" s="72">
        <v>12.848251060566284</v>
      </c>
      <c r="BY4" s="72">
        <v>15.248675497347053</v>
      </c>
      <c r="BZ4" s="72">
        <v>16.323839326214838</v>
      </c>
      <c r="CA4" s="72">
        <v>16.323839326214838</v>
      </c>
      <c r="CB4" s="72">
        <v>15.614577239993999</v>
      </c>
      <c r="CC4" s="72">
        <v>15.614577239993999</v>
      </c>
      <c r="CD4" s="72">
        <v>15.614577239993999</v>
      </c>
      <c r="CE4" s="72">
        <v>20.160678262015217</v>
      </c>
      <c r="CF4" s="72">
        <v>10.232468538225636</v>
      </c>
      <c r="CG4" s="72">
        <v>11.079208357102299</v>
      </c>
      <c r="CH4" s="72">
        <v>12.310500896151332</v>
      </c>
      <c r="CI4" s="72">
        <v>11.90785802324279</v>
      </c>
      <c r="CJ4" s="72">
        <v>11.961241221633557</v>
      </c>
      <c r="CK4" s="72">
        <v>9.9020720467063903</v>
      </c>
      <c r="CL4" s="72">
        <v>7.8349687357190279</v>
      </c>
      <c r="CM4" s="72">
        <v>7.5281857051032741</v>
      </c>
      <c r="CN4" s="72">
        <v>7.7238848546850036</v>
      </c>
      <c r="CO4" s="72">
        <v>7.7238848546850036</v>
      </c>
      <c r="CP4" s="72">
        <v>7.1736407762279741</v>
      </c>
      <c r="CQ4" s="72">
        <v>7.3917706320093535</v>
      </c>
      <c r="CR4" s="72">
        <v>9.2376998794378338</v>
      </c>
      <c r="CS4" s="72">
        <v>5.9730825092037421</v>
      </c>
      <c r="CT4" s="72">
        <v>1.1169009422476339</v>
      </c>
    </row>
    <row r="5" spans="1:98" ht="15.5" x14ac:dyDescent="0.35">
      <c r="A5" s="88"/>
      <c r="B5" s="30">
        <v>102</v>
      </c>
      <c r="C5" s="31" t="s">
        <v>63</v>
      </c>
      <c r="D5" s="34" t="s">
        <v>64</v>
      </c>
      <c r="E5" s="102">
        <f>VLOOKUP(C5,[1]CLASSI_EAI!A:G,7,FALSE)</f>
        <v>34.872956815671998</v>
      </c>
      <c r="F5" s="73">
        <v>3.5380238391399477</v>
      </c>
      <c r="G5" s="73">
        <v>-0.53699480515504439</v>
      </c>
      <c r="H5" s="73">
        <v>3.4896008206613649</v>
      </c>
      <c r="I5" s="73">
        <v>-6.6956191037394248</v>
      </c>
      <c r="J5" s="73">
        <v>-0.44033555633624655</v>
      </c>
      <c r="K5" s="73">
        <v>6.1682646945271591</v>
      </c>
      <c r="L5" s="73">
        <v>6.9929804508271909</v>
      </c>
      <c r="M5" s="73">
        <v>-1.4246390745402904</v>
      </c>
      <c r="N5" s="73">
        <v>-4.1482214508675952</v>
      </c>
      <c r="O5" s="73">
        <v>-3.2582506568332836</v>
      </c>
      <c r="P5" s="73">
        <v>-3.5468502974505656</v>
      </c>
      <c r="Q5" s="73">
        <v>0.62619719523899775</v>
      </c>
      <c r="R5" s="73">
        <v>-4.1548136264929365</v>
      </c>
      <c r="S5" s="73">
        <v>0.56075443277603387</v>
      </c>
      <c r="T5" s="73">
        <v>1.290107590494749</v>
      </c>
      <c r="U5" s="73">
        <v>-2.1601667040772599</v>
      </c>
      <c r="V5" s="73">
        <v>4.8336470098352624</v>
      </c>
      <c r="W5" s="73">
        <v>6.06260679244921</v>
      </c>
      <c r="X5" s="73">
        <v>8.4871806149926954</v>
      </c>
      <c r="Y5" s="73">
        <v>9.1983225896590461</v>
      </c>
      <c r="Z5" s="73">
        <v>19.720917574056827</v>
      </c>
      <c r="AA5" s="73">
        <v>8.2092798377846776</v>
      </c>
      <c r="AB5" s="73">
        <v>-1.9854273645863119</v>
      </c>
      <c r="AC5" s="73">
        <v>2.7375180349431538</v>
      </c>
      <c r="AD5" s="73">
        <v>10.846514309191058</v>
      </c>
      <c r="AE5" s="73">
        <v>7.3582956844022496</v>
      </c>
      <c r="AF5" s="73">
        <v>2.9419925363921573</v>
      </c>
      <c r="AG5" s="73">
        <v>10.83477785402016</v>
      </c>
      <c r="AH5" s="73">
        <v>-2.5118699986900639</v>
      </c>
      <c r="AI5" s="73">
        <v>-2.2702285421173252</v>
      </c>
      <c r="AJ5" s="73">
        <v>-1.9471282128153855</v>
      </c>
      <c r="AK5" s="73">
        <v>2.9141436742265547</v>
      </c>
      <c r="AL5" s="73">
        <v>2.0387064970355029</v>
      </c>
      <c r="AM5" s="73">
        <v>6.700879765709411</v>
      </c>
      <c r="AN5" s="73">
        <v>14.842770684846741</v>
      </c>
      <c r="AO5" s="73">
        <v>6.1710776558790092</v>
      </c>
      <c r="AP5" s="73">
        <v>-3.0483561425674544</v>
      </c>
      <c r="AQ5" s="73">
        <v>0.78053286420654011</v>
      </c>
      <c r="AR5" s="73">
        <v>0.45498618106059041</v>
      </c>
      <c r="AS5" s="73">
        <v>4.4615392832178857</v>
      </c>
      <c r="AT5" s="73">
        <v>9.1665253654452208</v>
      </c>
      <c r="AU5" s="73">
        <v>2.3849001277010284</v>
      </c>
      <c r="AV5" s="73">
        <v>0.54593720780558019</v>
      </c>
      <c r="AW5" s="73">
        <v>-4.5703502333436674</v>
      </c>
      <c r="AX5" s="73">
        <v>-12.540684988276752</v>
      </c>
      <c r="AY5" s="73">
        <v>-7.6534103160515565</v>
      </c>
      <c r="AZ5" s="73">
        <v>-14.16019505189765</v>
      </c>
      <c r="BA5" s="73">
        <v>-10.398560397236844</v>
      </c>
      <c r="BB5" s="73">
        <v>-4.1296779281614571</v>
      </c>
      <c r="BC5" s="73">
        <v>-9.3308001868715351</v>
      </c>
      <c r="BD5" s="73">
        <v>-1.0544836564912785</v>
      </c>
      <c r="BE5" s="73">
        <v>-12.583843211925583</v>
      </c>
      <c r="BF5" s="73">
        <v>-14.630046366432282</v>
      </c>
      <c r="BG5" s="73">
        <v>-7.4046814069851141</v>
      </c>
      <c r="BH5" s="73">
        <v>-1.5581017937092767</v>
      </c>
      <c r="BI5" s="73">
        <v>-7.5517543520912778</v>
      </c>
      <c r="BJ5" s="73">
        <v>2.665523405468373</v>
      </c>
      <c r="BK5" s="73">
        <v>-3.7428752786829222</v>
      </c>
      <c r="BL5" s="73">
        <v>5.3014516816747959</v>
      </c>
      <c r="BM5" s="73">
        <v>1.1821700462407048</v>
      </c>
      <c r="BN5" s="73">
        <v>3.8418522681518352</v>
      </c>
      <c r="BO5" s="73">
        <v>5.8932946772323858</v>
      </c>
      <c r="BP5" s="73">
        <v>-0.80645524377011002</v>
      </c>
      <c r="BQ5" s="73">
        <v>4.9454138583011842</v>
      </c>
      <c r="BR5" s="73">
        <v>7.7938272214903792</v>
      </c>
      <c r="BS5" s="73">
        <v>8.1814093601734861</v>
      </c>
      <c r="BT5" s="73">
        <v>5.1070073725697052</v>
      </c>
      <c r="BU5" s="73">
        <v>21.661585105413273</v>
      </c>
      <c r="BV5" s="73">
        <v>17.882135092355899</v>
      </c>
      <c r="BW5" s="73">
        <v>20.71580296807096</v>
      </c>
      <c r="BX5" s="73">
        <v>14.866905686252728</v>
      </c>
      <c r="BY5" s="73">
        <v>16.768941144644998</v>
      </c>
      <c r="BZ5" s="73">
        <v>13.350627244602876</v>
      </c>
      <c r="CA5" s="73">
        <v>14.620852312506361</v>
      </c>
      <c r="CB5" s="73">
        <v>19.275334448425486</v>
      </c>
      <c r="CC5" s="73">
        <v>16.123661901570109</v>
      </c>
      <c r="CD5" s="73">
        <v>18.056078406146938</v>
      </c>
      <c r="CE5" s="73">
        <v>13.204962806051057</v>
      </c>
      <c r="CF5" s="73">
        <v>20.909303622211084</v>
      </c>
      <c r="CG5" s="73">
        <v>13.889440138167174</v>
      </c>
      <c r="CH5" s="73">
        <v>8.1671638657864634</v>
      </c>
      <c r="CI5" s="73">
        <v>8.1611956968096635</v>
      </c>
      <c r="CJ5" s="73">
        <v>15.736796490822336</v>
      </c>
      <c r="CK5" s="73">
        <v>15.561945101425522</v>
      </c>
      <c r="CL5" s="73">
        <v>15.475347881189228</v>
      </c>
      <c r="CM5" s="73">
        <v>12.583671946679932</v>
      </c>
      <c r="CN5" s="73">
        <v>9.0169280693719998</v>
      </c>
      <c r="CO5" s="73">
        <v>10.102304691326403</v>
      </c>
      <c r="CP5" s="73">
        <v>8.7109525884804029</v>
      </c>
      <c r="CQ5" s="73">
        <v>9.1496986981610249</v>
      </c>
      <c r="CR5" s="73">
        <v>3.1742030230981433</v>
      </c>
      <c r="CS5" s="73">
        <v>8.2758763933824309</v>
      </c>
      <c r="CT5" s="73">
        <v>2.6626932817566118</v>
      </c>
    </row>
    <row r="6" spans="1:98" ht="15.5" x14ac:dyDescent="0.35">
      <c r="A6" s="88"/>
      <c r="B6" s="30"/>
      <c r="C6" s="37">
        <v>1030</v>
      </c>
      <c r="D6" s="34" t="s">
        <v>65</v>
      </c>
      <c r="E6" s="102">
        <f>VLOOKUP(C6,[1]CLASSI_EAI!A:G,7,FALSE)</f>
        <v>17.242749016877699</v>
      </c>
      <c r="F6" s="73">
        <v>4.9359164820816259</v>
      </c>
      <c r="G6" s="73">
        <v>1.2840256246073212</v>
      </c>
      <c r="H6" s="73">
        <v>3.6784425972675061</v>
      </c>
      <c r="I6" s="73">
        <v>2.4202248748811162</v>
      </c>
      <c r="J6" s="73">
        <v>3.3247177474957645</v>
      </c>
      <c r="K6" s="73">
        <v>2.8216293764157241</v>
      </c>
      <c r="L6" s="73">
        <v>4.5330292954834928</v>
      </c>
      <c r="M6" s="73">
        <v>1.2173692157592564</v>
      </c>
      <c r="N6" s="73">
        <v>1.8892032529555847</v>
      </c>
      <c r="O6" s="73">
        <v>5.2675173612370063</v>
      </c>
      <c r="P6" s="73">
        <v>4.6332545862084018</v>
      </c>
      <c r="Q6" s="73">
        <v>0.43233909250630642</v>
      </c>
      <c r="R6" s="73">
        <v>1.0692556180741386</v>
      </c>
      <c r="S6" s="73">
        <v>2.7183434339554058</v>
      </c>
      <c r="T6" s="73">
        <v>0.26984092372515089</v>
      </c>
      <c r="U6" s="73">
        <v>1.3135026684127249</v>
      </c>
      <c r="V6" s="73">
        <v>0.66353420370424132</v>
      </c>
      <c r="W6" s="73">
        <v>1.9338260935267915</v>
      </c>
      <c r="X6" s="73">
        <v>1.9509194707495459</v>
      </c>
      <c r="Y6" s="73">
        <v>1.5523200499837131</v>
      </c>
      <c r="Z6" s="73">
        <v>3.065461234937783</v>
      </c>
      <c r="AA6" s="73">
        <v>0.85877723472478351</v>
      </c>
      <c r="AB6" s="73">
        <v>0.40668344620764518</v>
      </c>
      <c r="AC6" s="73">
        <v>0.1077413001401073</v>
      </c>
      <c r="AD6" s="73">
        <v>0.45488636945982819</v>
      </c>
      <c r="AE6" s="73">
        <v>-0.38292717960255462</v>
      </c>
      <c r="AF6" s="73">
        <v>1.8995129392507026</v>
      </c>
      <c r="AG6" s="73">
        <v>1.8435633759659398</v>
      </c>
      <c r="AH6" s="73">
        <v>2.2078358595162495</v>
      </c>
      <c r="AI6" s="73">
        <v>0.78162063955520278</v>
      </c>
      <c r="AJ6" s="73">
        <v>1.4740800785655983</v>
      </c>
      <c r="AK6" s="73">
        <v>1.2383809738951701</v>
      </c>
      <c r="AL6" s="73">
        <v>-1.0143448605949734</v>
      </c>
      <c r="AM6" s="73">
        <v>-2.7273425170602716</v>
      </c>
      <c r="AN6" s="73">
        <v>-4.664785310385378</v>
      </c>
      <c r="AO6" s="73">
        <v>-3.7424838206419397</v>
      </c>
      <c r="AP6" s="73">
        <v>-2.3979293273754587</v>
      </c>
      <c r="AQ6" s="73">
        <v>-2.2271968922183305</v>
      </c>
      <c r="AR6" s="73">
        <v>-3.9594538206317309</v>
      </c>
      <c r="AS6" s="73">
        <v>-3.4527750933146861</v>
      </c>
      <c r="AT6" s="73">
        <v>-3.8929366380469066</v>
      </c>
      <c r="AU6" s="73">
        <v>-2.8508999312390704</v>
      </c>
      <c r="AV6" s="73">
        <v>-3.992578898796395</v>
      </c>
      <c r="AW6" s="73">
        <v>-3.7905932792802188</v>
      </c>
      <c r="AX6" s="73">
        <v>-1.9760055652439212</v>
      </c>
      <c r="AY6" s="73">
        <v>-2.1970605202593974</v>
      </c>
      <c r="AZ6" s="73">
        <v>1.8795493733542834</v>
      </c>
      <c r="BA6" s="73">
        <v>4.8498476774702759</v>
      </c>
      <c r="BB6" s="73">
        <v>5.5826871175950643</v>
      </c>
      <c r="BC6" s="73">
        <v>6.9130408502583229</v>
      </c>
      <c r="BD6" s="73">
        <v>6.9087944463260387</v>
      </c>
      <c r="BE6" s="73">
        <v>5.6097980340594766</v>
      </c>
      <c r="BF6" s="73">
        <v>4.8736366056515878</v>
      </c>
      <c r="BG6" s="73">
        <v>3.1749135695575248</v>
      </c>
      <c r="BH6" s="73">
        <v>19.344819053631568</v>
      </c>
      <c r="BI6" s="73">
        <v>19.536767431523906</v>
      </c>
      <c r="BJ6" s="73">
        <v>19.001875219138942</v>
      </c>
      <c r="BK6" s="73">
        <v>20.390192502618376</v>
      </c>
      <c r="BL6" s="73">
        <v>17.428402631471272</v>
      </c>
      <c r="BM6" s="73">
        <v>13.878794147131313</v>
      </c>
      <c r="BN6" s="73">
        <v>11.589870260439582</v>
      </c>
      <c r="BO6" s="73">
        <v>11.299327666196124</v>
      </c>
      <c r="BP6" s="73">
        <v>12.701900128487175</v>
      </c>
      <c r="BQ6" s="73">
        <v>13.219627715037351</v>
      </c>
      <c r="BR6" s="73">
        <v>15.446101943278268</v>
      </c>
      <c r="BS6" s="73">
        <v>17.216019574963326</v>
      </c>
      <c r="BT6" s="73">
        <v>2.5076249624860214</v>
      </c>
      <c r="BU6" s="73">
        <v>4.2300537300198116</v>
      </c>
      <c r="BV6" s="73">
        <v>3.1823430929550645</v>
      </c>
      <c r="BW6" s="73">
        <v>1.5370799730166418</v>
      </c>
      <c r="BX6" s="73">
        <v>1.2104402247904877</v>
      </c>
      <c r="BY6" s="73">
        <v>0.71605798141578525</v>
      </c>
      <c r="BZ6" s="73">
        <v>1.3895743175814879</v>
      </c>
      <c r="CA6" s="73">
        <v>1.153279847261901</v>
      </c>
      <c r="CB6" s="73">
        <v>-0.2268370961742594</v>
      </c>
      <c r="CC6" s="73">
        <v>-1.5859946136276726</v>
      </c>
      <c r="CD6" s="73">
        <v>-1.9205312241646677</v>
      </c>
      <c r="CE6" s="73">
        <v>-2.214689835069994</v>
      </c>
      <c r="CF6" s="73">
        <v>-2.1870096750313039</v>
      </c>
      <c r="CG6" s="73">
        <v>-3.8766137513647214</v>
      </c>
      <c r="CH6" s="73">
        <v>-4.3867359731324829</v>
      </c>
      <c r="CI6" s="73">
        <v>-2.827093789532753</v>
      </c>
      <c r="CJ6" s="73">
        <v>-2.5197311815830625</v>
      </c>
      <c r="CK6" s="73">
        <v>-2.6312672091552081</v>
      </c>
      <c r="CL6" s="73">
        <v>-2.6897294143293227</v>
      </c>
      <c r="CM6" s="73">
        <v>-3.5874117769170821</v>
      </c>
      <c r="CN6" s="73">
        <v>-4.5909967327871781</v>
      </c>
      <c r="CO6" s="73">
        <v>-4.6583445064069302</v>
      </c>
      <c r="CP6" s="73">
        <v>-2.0033992147451607</v>
      </c>
      <c r="CQ6" s="73">
        <v>-1.6768313135863244</v>
      </c>
      <c r="CR6" s="73">
        <v>-2.5279817409048055</v>
      </c>
      <c r="CS6" s="73">
        <v>-2.1405554788538228</v>
      </c>
      <c r="CT6" s="73">
        <v>1.7820792343037573</v>
      </c>
    </row>
    <row r="7" spans="1:98" ht="15.5" x14ac:dyDescent="0.35">
      <c r="A7" s="88"/>
      <c r="B7" s="35">
        <v>104</v>
      </c>
      <c r="C7" s="37">
        <v>1040</v>
      </c>
      <c r="D7" s="34" t="s">
        <v>66</v>
      </c>
      <c r="E7" s="102">
        <f>[1]CLASSI_EAI!G67</f>
        <v>49.132836897778702</v>
      </c>
      <c r="F7" s="73">
        <v>-1.7689907258513826</v>
      </c>
      <c r="G7" s="73">
        <v>-3.1345750744482537</v>
      </c>
      <c r="H7" s="73">
        <v>-3.6457498761562124</v>
      </c>
      <c r="I7" s="73">
        <v>-4.4047715339950226</v>
      </c>
      <c r="J7" s="73">
        <v>-4.4141032625432679</v>
      </c>
      <c r="K7" s="73">
        <v>-5.2888513156729271</v>
      </c>
      <c r="L7" s="73">
        <v>-3.5110784523284755</v>
      </c>
      <c r="M7" s="73">
        <v>-4.6983264998131329</v>
      </c>
      <c r="N7" s="73">
        <v>-5.1316767232352456</v>
      </c>
      <c r="O7" s="73">
        <v>-7.0714400367330459</v>
      </c>
      <c r="P7" s="73">
        <v>-7.0714400367330459</v>
      </c>
      <c r="Q7" s="73">
        <v>-7.4807875766047749</v>
      </c>
      <c r="R7" s="73">
        <v>-9.006649273524781</v>
      </c>
      <c r="S7" s="73">
        <v>-8.0669868716535582</v>
      </c>
      <c r="T7" s="73">
        <v>-7.7665948405171603</v>
      </c>
      <c r="U7" s="73">
        <v>-5.1812664827578399</v>
      </c>
      <c r="V7" s="73">
        <v>-5.2407510781081861</v>
      </c>
      <c r="W7" s="73">
        <v>0.53612188484912782</v>
      </c>
      <c r="X7" s="73">
        <v>9.0167004505776749</v>
      </c>
      <c r="Y7" s="73">
        <v>11.929700177316359</v>
      </c>
      <c r="Z7" s="73">
        <v>11.430432347480867</v>
      </c>
      <c r="AA7" s="73">
        <v>12.907484410224001</v>
      </c>
      <c r="AB7" s="73">
        <v>12.907484410224001</v>
      </c>
      <c r="AC7" s="73">
        <v>15.995832895414374</v>
      </c>
      <c r="AD7" s="73">
        <v>18.918917871792761</v>
      </c>
      <c r="AE7" s="73">
        <v>18.15112010295039</v>
      </c>
      <c r="AF7" s="73">
        <v>17.766317493880535</v>
      </c>
      <c r="AG7" s="73">
        <v>17.422824069791055</v>
      </c>
      <c r="AH7" s="73">
        <v>20.52040449014283</v>
      </c>
      <c r="AI7" s="73">
        <v>20.240198861985871</v>
      </c>
      <c r="AJ7" s="73">
        <v>19.777515164080462</v>
      </c>
      <c r="AK7" s="73">
        <v>20.31672800573887</v>
      </c>
      <c r="AL7" s="73">
        <v>30.156342347881228</v>
      </c>
      <c r="AM7" s="73">
        <v>31.339244408827405</v>
      </c>
      <c r="AN7" s="73">
        <v>32.508357261343512</v>
      </c>
      <c r="AO7" s="73">
        <v>28.626936627467114</v>
      </c>
      <c r="AP7" s="73">
        <v>38.069519974526479</v>
      </c>
      <c r="AQ7" s="73">
        <v>39.857478484173626</v>
      </c>
      <c r="AR7" s="73">
        <v>40.754207889379735</v>
      </c>
      <c r="AS7" s="73">
        <v>42.890500518132121</v>
      </c>
      <c r="AT7" s="73">
        <v>44.716489348847929</v>
      </c>
      <c r="AU7" s="73">
        <v>41.539514069630165</v>
      </c>
      <c r="AV7" s="73">
        <v>33.063992592712601</v>
      </c>
      <c r="AW7" s="73">
        <v>32.397648150743841</v>
      </c>
      <c r="AX7" s="73">
        <v>28.957008402949501</v>
      </c>
      <c r="AY7" s="73">
        <v>35.445225193001463</v>
      </c>
      <c r="AZ7" s="73">
        <v>32.883216748827216</v>
      </c>
      <c r="BA7" s="73">
        <v>35.20956362450913</v>
      </c>
      <c r="BB7" s="73">
        <v>21.858899527104182</v>
      </c>
      <c r="BC7" s="73">
        <v>20.099843889264001</v>
      </c>
      <c r="BD7" s="73">
        <v>17.451492193820386</v>
      </c>
      <c r="BE7" s="73">
        <v>7.6546555296974406</v>
      </c>
      <c r="BF7" s="73">
        <v>1.0996707999648692</v>
      </c>
      <c r="BG7" s="73">
        <v>-0.75735904852748392</v>
      </c>
      <c r="BH7" s="73">
        <v>-6.1051482380171551</v>
      </c>
      <c r="BI7" s="73">
        <v>-5.8819874271248462</v>
      </c>
      <c r="BJ7" s="73">
        <v>-10.675880046341312</v>
      </c>
      <c r="BK7" s="73">
        <v>-16.755347086342454</v>
      </c>
      <c r="BL7" s="73">
        <v>-16.268600943107735</v>
      </c>
      <c r="BM7" s="73">
        <v>-18.359015428658797</v>
      </c>
      <c r="BN7" s="73">
        <v>-17.971989793242948</v>
      </c>
      <c r="BO7" s="73">
        <v>-20.202918726895092</v>
      </c>
      <c r="BP7" s="73">
        <v>-18.883917909296166</v>
      </c>
      <c r="BQ7" s="73">
        <v>-14.801463055645936</v>
      </c>
      <c r="BR7" s="73">
        <v>-12.724470827779932</v>
      </c>
      <c r="BS7" s="73">
        <v>-14.255019019142445</v>
      </c>
      <c r="BT7" s="73">
        <v>-10.514875646429223</v>
      </c>
      <c r="BU7" s="73">
        <v>-11.105892606854939</v>
      </c>
      <c r="BV7" s="73">
        <v>-10.641412120661498</v>
      </c>
      <c r="BW7" s="73">
        <v>-5.0762601540031538</v>
      </c>
      <c r="BX7" s="73">
        <v>-4.9725826724706268</v>
      </c>
      <c r="BY7" s="73">
        <v>-4.0606344784103188</v>
      </c>
      <c r="BZ7" s="73">
        <v>-2.0246125635136947</v>
      </c>
      <c r="CA7" s="73">
        <v>0.71453682805064922</v>
      </c>
      <c r="CB7" s="73">
        <v>1.599831878371627</v>
      </c>
      <c r="CC7" s="73">
        <v>4.5423553693968666</v>
      </c>
      <c r="CD7" s="73">
        <v>5.6510967638484066</v>
      </c>
      <c r="CE7" s="73">
        <v>6.8206213502367552</v>
      </c>
      <c r="CF7" s="73">
        <v>15.559886928528277</v>
      </c>
      <c r="CG7" s="73">
        <v>13.221934542098325</v>
      </c>
      <c r="CH7" s="73">
        <v>12.437396716433803</v>
      </c>
      <c r="CI7" s="73">
        <v>8.1641855605542268</v>
      </c>
      <c r="CJ7" s="73">
        <v>8.5231043155164379</v>
      </c>
      <c r="CK7" s="73">
        <v>8.6428847066383661</v>
      </c>
      <c r="CL7" s="73">
        <v>7.9792710664511768</v>
      </c>
      <c r="CM7" s="73">
        <v>7.8633491185830184</v>
      </c>
      <c r="CN7" s="73">
        <v>5.9532459731397758</v>
      </c>
      <c r="CO7" s="73">
        <v>3.8119569504948547</v>
      </c>
      <c r="CP7" s="73">
        <v>2.7225161644014673</v>
      </c>
      <c r="CQ7" s="73">
        <v>2.2528859103056798</v>
      </c>
      <c r="CR7" s="73">
        <v>-3.5318126457890675</v>
      </c>
      <c r="CS7" s="73">
        <v>-1.7293901840849557</v>
      </c>
      <c r="CT7" s="73">
        <v>-0.71779635701281208</v>
      </c>
    </row>
    <row r="8" spans="1:98" ht="15.5" x14ac:dyDescent="0.35">
      <c r="A8" s="88"/>
      <c r="B8" s="35">
        <v>105</v>
      </c>
      <c r="C8" s="37">
        <v>1050</v>
      </c>
      <c r="D8" s="34" t="s">
        <v>68</v>
      </c>
      <c r="E8" s="102">
        <f>[1]CLASSI_EAI!G84</f>
        <v>9.8202956193448294</v>
      </c>
      <c r="F8" s="73">
        <v>9.3356436377977747</v>
      </c>
      <c r="G8" s="73">
        <v>11.111976778327559</v>
      </c>
      <c r="H8" s="73">
        <v>9.2102466750418657</v>
      </c>
      <c r="I8" s="73">
        <v>9.7155303725733546</v>
      </c>
      <c r="J8" s="73">
        <v>7.5495557748249009</v>
      </c>
      <c r="K8" s="73">
        <v>9.1130130387157458</v>
      </c>
      <c r="L8" s="73">
        <v>9.1499883851319233</v>
      </c>
      <c r="M8" s="73">
        <v>6.8963050852907548</v>
      </c>
      <c r="N8" s="73">
        <v>0.1745309055369848</v>
      </c>
      <c r="O8" s="73">
        <v>1.8796513722890262</v>
      </c>
      <c r="P8" s="73">
        <v>3.0658258616150569</v>
      </c>
      <c r="Q8" s="73">
        <v>1.9846432245555379</v>
      </c>
      <c r="R8" s="73">
        <v>1.179699845092208</v>
      </c>
      <c r="S8" s="73">
        <v>-1.9150248179351848</v>
      </c>
      <c r="T8" s="73">
        <v>-2.1403947885676011</v>
      </c>
      <c r="U8" s="73">
        <v>-0.36183678122979623</v>
      </c>
      <c r="V8" s="73">
        <v>3.0628885517656412</v>
      </c>
      <c r="W8" s="73">
        <v>2.8403408536440411</v>
      </c>
      <c r="X8" s="73">
        <v>9.9233848368873723E-2</v>
      </c>
      <c r="Y8" s="73">
        <v>-1.2018442078915892</v>
      </c>
      <c r="Z8" s="73">
        <v>0.99003564581314762</v>
      </c>
      <c r="AA8" s="73">
        <v>-0.84310717834271687</v>
      </c>
      <c r="AB8" s="73">
        <v>-3.5364841290933868</v>
      </c>
      <c r="AC8" s="73">
        <v>-3.3011485456511558</v>
      </c>
      <c r="AD8" s="73">
        <v>0.19861450790241708</v>
      </c>
      <c r="AE8" s="73">
        <v>1.0042365946748344</v>
      </c>
      <c r="AF8" s="73">
        <v>-0.1049875831460767</v>
      </c>
      <c r="AG8" s="73">
        <v>-1.6034405127091977</v>
      </c>
      <c r="AH8" s="73">
        <v>-1.6034405127091866</v>
      </c>
      <c r="AI8" s="73">
        <v>-0.42123474836016639</v>
      </c>
      <c r="AJ8" s="73">
        <v>-0.21275443006956163</v>
      </c>
      <c r="AK8" s="73">
        <v>-1.4413600667585125</v>
      </c>
      <c r="AL8" s="73">
        <v>-2.8720632904769006</v>
      </c>
      <c r="AM8" s="73">
        <v>-4.0087430852718375</v>
      </c>
      <c r="AN8" s="73">
        <v>3.4681806632264056E-2</v>
      </c>
      <c r="AO8" s="73">
        <v>-1.2968546316153517</v>
      </c>
      <c r="AP8" s="73">
        <v>-4.5695657352929135</v>
      </c>
      <c r="AQ8" s="73">
        <v>-3.6589183116160107</v>
      </c>
      <c r="AR8" s="73">
        <v>1.4173890702906533E-2</v>
      </c>
      <c r="AS8" s="73">
        <v>4.3373100561276967</v>
      </c>
      <c r="AT8" s="73">
        <v>3.9618736932392373</v>
      </c>
      <c r="AU8" s="73">
        <v>0.70995902414894285</v>
      </c>
      <c r="AV8" s="73">
        <v>0.33244456975369818</v>
      </c>
      <c r="AW8" s="73">
        <v>1.2070005008292473</v>
      </c>
      <c r="AX8" s="73">
        <v>0.82734851758321515</v>
      </c>
      <c r="AY8" s="73">
        <v>5.1296170494399052</v>
      </c>
      <c r="AZ8" s="73">
        <v>4.3846802926196471</v>
      </c>
      <c r="BA8" s="73">
        <v>5.1928922038572578</v>
      </c>
      <c r="BB8" s="73">
        <v>5.8212539035177979</v>
      </c>
      <c r="BC8" s="73">
        <v>5.1273258314493475</v>
      </c>
      <c r="BD8" s="73">
        <v>2.9694529008058135</v>
      </c>
      <c r="BE8" s="73">
        <v>-0.39690477301794758</v>
      </c>
      <c r="BF8" s="73">
        <v>-0.22359891755057149</v>
      </c>
      <c r="BG8" s="73">
        <v>2.4180662152981203</v>
      </c>
      <c r="BH8" s="73">
        <v>3.501178395989113</v>
      </c>
      <c r="BI8" s="73">
        <v>4.56167357328634</v>
      </c>
      <c r="BJ8" s="73">
        <v>5.9773445340799647</v>
      </c>
      <c r="BK8" s="73">
        <v>4.1816967184416853</v>
      </c>
      <c r="BL8" s="73">
        <v>3.9699582344767226</v>
      </c>
      <c r="BM8" s="73">
        <v>3.0552362114316667</v>
      </c>
      <c r="BN8" s="73">
        <v>3.0122030441065206</v>
      </c>
      <c r="BO8" s="73">
        <v>3.0382016187820771</v>
      </c>
      <c r="BP8" s="73">
        <v>2.0032890660296676</v>
      </c>
      <c r="BQ8" s="73">
        <v>1.2874915197103931</v>
      </c>
      <c r="BR8" s="73">
        <v>1.4253058457004641</v>
      </c>
      <c r="BS8" s="73">
        <v>0.7888394986579339</v>
      </c>
      <c r="BT8" s="73">
        <v>2.2112220156984552</v>
      </c>
      <c r="BU8" s="73">
        <v>2.0158762386220941</v>
      </c>
      <c r="BV8" s="73">
        <v>1.3829598379048846</v>
      </c>
      <c r="BW8" s="73">
        <v>3.0390136426207581</v>
      </c>
      <c r="BX8" s="73">
        <v>2.6210261188331252</v>
      </c>
      <c r="BY8" s="73">
        <v>5.667060850425476</v>
      </c>
      <c r="BZ8" s="73">
        <v>5.299649367637338</v>
      </c>
      <c r="CA8" s="73">
        <v>5.0553214968290128</v>
      </c>
      <c r="CB8" s="73">
        <v>3.9740430154222572</v>
      </c>
      <c r="CC8" s="73">
        <v>4.1417264453290636</v>
      </c>
      <c r="CD8" s="73">
        <v>4.6256969827132899</v>
      </c>
      <c r="CE8" s="73">
        <v>7.302365348016493</v>
      </c>
      <c r="CF8" s="73">
        <v>5.7958784941095187</v>
      </c>
      <c r="CG8" s="73">
        <v>6.37427626794691</v>
      </c>
      <c r="CH8" s="73">
        <v>5.3526513066177062</v>
      </c>
      <c r="CI8" s="73">
        <v>4.4280769541015008</v>
      </c>
      <c r="CJ8" s="73">
        <v>5.2017953925260985</v>
      </c>
      <c r="CK8" s="73">
        <v>2.8132420632660748</v>
      </c>
      <c r="CL8" s="73">
        <v>2.3342973595943617</v>
      </c>
      <c r="CM8" s="73">
        <v>2.1653779581373156</v>
      </c>
      <c r="CN8" s="73">
        <v>2.5623079215467692</v>
      </c>
      <c r="CO8" s="73">
        <v>2.3077180225793859</v>
      </c>
      <c r="CP8" s="73">
        <v>2.4144041797393712</v>
      </c>
      <c r="CQ8" s="73">
        <v>-0.21687000722074856</v>
      </c>
      <c r="CR8" s="73">
        <v>0.51512941880003105</v>
      </c>
      <c r="CS8" s="73">
        <v>-0.68053631979909657</v>
      </c>
      <c r="CT8" s="73">
        <v>-0.96489451244706759</v>
      </c>
    </row>
    <row r="9" spans="1:98" ht="15.5" x14ac:dyDescent="0.35">
      <c r="A9" s="88"/>
      <c r="B9" s="35">
        <v>106</v>
      </c>
      <c r="C9" s="37">
        <v>1061</v>
      </c>
      <c r="D9" s="34" t="s">
        <v>67</v>
      </c>
      <c r="E9" s="102">
        <f>[1]CLASSI_EAI!G115</f>
        <v>67.623833253878402</v>
      </c>
      <c r="F9" s="73">
        <v>-7.0823687757433973</v>
      </c>
      <c r="G9" s="73">
        <v>-8.221008284697028</v>
      </c>
      <c r="H9" s="73">
        <v>-8.1619177195398134</v>
      </c>
      <c r="I9" s="73">
        <v>-8.9867645149311564</v>
      </c>
      <c r="J9" s="73">
        <v>-8.3720212508580421</v>
      </c>
      <c r="K9" s="73">
        <v>-0.76470659431113752</v>
      </c>
      <c r="L9" s="73">
        <v>9.928377373398245E-2</v>
      </c>
      <c r="M9" s="73">
        <v>-0.3588738771620914</v>
      </c>
      <c r="N9" s="73">
        <v>-0.17198141115541965</v>
      </c>
      <c r="O9" s="73">
        <v>0.20835150427462867</v>
      </c>
      <c r="P9" s="73">
        <v>0.84145561989013018</v>
      </c>
      <c r="Q9" s="73">
        <v>1.3167934114677315</v>
      </c>
      <c r="R9" s="73">
        <v>2.2932700255614114</v>
      </c>
      <c r="S9" s="73">
        <v>2.2151117674950926</v>
      </c>
      <c r="T9" s="73">
        <v>1.8230500810790584</v>
      </c>
      <c r="U9" s="73">
        <v>2.3887395113214582</v>
      </c>
      <c r="V9" s="73">
        <v>2.49744873408968</v>
      </c>
      <c r="W9" s="73">
        <v>2.5359604581133732</v>
      </c>
      <c r="X9" s="73">
        <v>2.638590457256007</v>
      </c>
      <c r="Y9" s="73">
        <v>3.9636848306708883</v>
      </c>
      <c r="Z9" s="73">
        <v>4.4614658429834142</v>
      </c>
      <c r="AA9" s="73">
        <v>4.719329105155845</v>
      </c>
      <c r="AB9" s="73">
        <v>3.7876094974333974</v>
      </c>
      <c r="AC9" s="73">
        <v>1.5070407460430424</v>
      </c>
      <c r="AD9" s="73">
        <v>1.4843859332791531</v>
      </c>
      <c r="AE9" s="73">
        <v>0.48141870557893984</v>
      </c>
      <c r="AF9" s="73">
        <v>-1.0596675472826389</v>
      </c>
      <c r="AG9" s="73">
        <v>-1.633000701493792</v>
      </c>
      <c r="AH9" s="73">
        <v>-1.6820828404631838</v>
      </c>
      <c r="AI9" s="73">
        <v>-1.2160557913629022</v>
      </c>
      <c r="AJ9" s="73">
        <v>-0.68843161975377098</v>
      </c>
      <c r="AK9" s="73">
        <v>-0.93530233292531406</v>
      </c>
      <c r="AL9" s="73">
        <v>-1.4122908611465479</v>
      </c>
      <c r="AM9" s="73">
        <v>0.95661410163612182</v>
      </c>
      <c r="AN9" s="73">
        <v>0.42148157447301493</v>
      </c>
      <c r="AO9" s="73">
        <v>0.51868892530970712</v>
      </c>
      <c r="AP9" s="73">
        <v>0.43252052256548268</v>
      </c>
      <c r="AQ9" s="73">
        <v>1.3851752194996791</v>
      </c>
      <c r="AR9" s="73">
        <v>2.5084499280587202</v>
      </c>
      <c r="AS9" s="73">
        <v>3.5058846423232426</v>
      </c>
      <c r="AT9" s="73">
        <v>6.1970447242107429</v>
      </c>
      <c r="AU9" s="73">
        <v>5.7530546167158025</v>
      </c>
      <c r="AV9" s="73">
        <v>7.6204907833778535</v>
      </c>
      <c r="AW9" s="73">
        <v>7.7806623753713389</v>
      </c>
      <c r="AX9" s="73">
        <v>9.0126638914751709</v>
      </c>
      <c r="AY9" s="73">
        <v>10.149927687934746</v>
      </c>
      <c r="AZ9" s="73">
        <v>12.24378021716368</v>
      </c>
      <c r="BA9" s="73">
        <v>18.18038797853696</v>
      </c>
      <c r="BB9" s="73">
        <v>21.010446334240427</v>
      </c>
      <c r="BC9" s="73">
        <v>21.590976621303447</v>
      </c>
      <c r="BD9" s="73">
        <v>22.707163081896532</v>
      </c>
      <c r="BE9" s="73">
        <v>24.633637020593135</v>
      </c>
      <c r="BF9" s="73">
        <v>21.228213692466991</v>
      </c>
      <c r="BG9" s="73">
        <v>19.258675153467909</v>
      </c>
      <c r="BH9" s="73">
        <v>15.761938431378407</v>
      </c>
      <c r="BI9" s="73">
        <v>15.887402492084712</v>
      </c>
      <c r="BJ9" s="73">
        <v>12.326658035634729</v>
      </c>
      <c r="BK9" s="73">
        <v>11.923751144822226</v>
      </c>
      <c r="BL9" s="73">
        <v>6.6809348518923173</v>
      </c>
      <c r="BM9" s="73">
        <v>-0.99207302198445202</v>
      </c>
      <c r="BN9" s="73">
        <v>-4.6541717355533692</v>
      </c>
      <c r="BO9" s="73">
        <v>-6.2663538656311797</v>
      </c>
      <c r="BP9" s="73">
        <v>-5.2843228321861613</v>
      </c>
      <c r="BQ9" s="73">
        <v>-9.3423836615215912</v>
      </c>
      <c r="BR9" s="73">
        <v>-9.7519010926855554</v>
      </c>
      <c r="BS9" s="73">
        <v>-9.8662942282904957</v>
      </c>
      <c r="BT9" s="73">
        <v>-11.504156125287723</v>
      </c>
      <c r="BU9" s="73">
        <v>-11.729176740897751</v>
      </c>
      <c r="BV9" s="73">
        <v>-9.7768134161790083</v>
      </c>
      <c r="BW9" s="73">
        <v>-12.812229468878499</v>
      </c>
      <c r="BX9" s="73">
        <v>-9.7412991630474348</v>
      </c>
      <c r="BY9" s="73">
        <v>-8.2125729642125158</v>
      </c>
      <c r="BZ9" s="73">
        <v>-7.5155428957487054</v>
      </c>
      <c r="CA9" s="73">
        <v>-6.5797506805408528</v>
      </c>
      <c r="CB9" s="73">
        <v>-10.1202610832832</v>
      </c>
      <c r="CC9" s="73">
        <v>-8.5449409025473937</v>
      </c>
      <c r="CD9" s="73">
        <v>-7.815911491347749</v>
      </c>
      <c r="CE9" s="73">
        <v>-7.6422343756751605</v>
      </c>
      <c r="CF9" s="73">
        <v>-5.2829751681379822</v>
      </c>
      <c r="CG9" s="73">
        <v>-5.1040062010439424</v>
      </c>
      <c r="CH9" s="73">
        <v>-5.6487558911768048</v>
      </c>
      <c r="CI9" s="73">
        <v>-5.504509989650197</v>
      </c>
      <c r="CJ9" s="73">
        <v>-4.6336001412887846</v>
      </c>
      <c r="CK9" s="73">
        <v>-2.4748065742766112</v>
      </c>
      <c r="CL9" s="73">
        <v>-2.2284779802173693</v>
      </c>
      <c r="CM9" s="73">
        <v>-0.27229052231678708</v>
      </c>
      <c r="CN9" s="73">
        <v>1.0312598646576188</v>
      </c>
      <c r="CO9" s="73">
        <v>3.7525180317820261</v>
      </c>
      <c r="CP9" s="73">
        <v>3.1267624114136305</v>
      </c>
      <c r="CQ9" s="73">
        <v>4.072281445539927</v>
      </c>
      <c r="CR9" s="73">
        <v>4.0458650078360137</v>
      </c>
      <c r="CS9" s="73">
        <v>4.8723986346426162</v>
      </c>
      <c r="CT9" s="73">
        <v>7.1460165315658353</v>
      </c>
    </row>
    <row r="10" spans="1:98" ht="15.5" x14ac:dyDescent="0.35">
      <c r="A10" s="88"/>
      <c r="B10" s="35">
        <v>107</v>
      </c>
      <c r="C10" s="37">
        <v>1071</v>
      </c>
      <c r="D10" s="34" t="s">
        <v>70</v>
      </c>
      <c r="E10" s="102">
        <f>[1]CLASSI_EAI!G137</f>
        <v>14.431745733660501</v>
      </c>
      <c r="F10" s="74">
        <v>6.12712527472008</v>
      </c>
      <c r="G10" s="74">
        <v>5.2230399236557812</v>
      </c>
      <c r="H10" s="74">
        <v>1.3990620729865455</v>
      </c>
      <c r="I10" s="74">
        <v>1.3990620729865455</v>
      </c>
      <c r="J10" s="74">
        <v>1.6417454388711894</v>
      </c>
      <c r="K10" s="74">
        <v>0.69686044963650495</v>
      </c>
      <c r="L10" s="74">
        <v>0.69686044963650495</v>
      </c>
      <c r="M10" s="74">
        <v>0.69686044963650495</v>
      </c>
      <c r="N10" s="74">
        <v>0.69686044963650495</v>
      </c>
      <c r="O10" s="74">
        <v>0.69686044963650495</v>
      </c>
      <c r="P10" s="74">
        <v>0.69686044963650495</v>
      </c>
      <c r="Q10" s="74">
        <v>0.69686044963650495</v>
      </c>
      <c r="R10" s="74">
        <v>1.1159788854866681</v>
      </c>
      <c r="S10" s="74">
        <v>1.1159788854866681</v>
      </c>
      <c r="T10" s="74">
        <v>1.1159788854866681</v>
      </c>
      <c r="U10" s="74">
        <v>1.1159788854866681</v>
      </c>
      <c r="V10" s="74">
        <v>0.41621797738151667</v>
      </c>
      <c r="W10" s="74">
        <v>0.41621797738151667</v>
      </c>
      <c r="X10" s="74">
        <v>0.41621797738151667</v>
      </c>
      <c r="Y10" s="74">
        <v>0.41621797738151667</v>
      </c>
      <c r="Z10" s="74">
        <v>0.41621797738151667</v>
      </c>
      <c r="AA10" s="74">
        <v>0.41621797738151667</v>
      </c>
      <c r="AB10" s="74">
        <v>0.41621797738151667</v>
      </c>
      <c r="AC10" s="74">
        <v>0.41621797738151667</v>
      </c>
      <c r="AD10" s="74">
        <v>0</v>
      </c>
      <c r="AE10" s="74">
        <v>0</v>
      </c>
      <c r="AF10" s="74">
        <v>0</v>
      </c>
      <c r="AG10" s="74">
        <v>0.50421182504882811</v>
      </c>
      <c r="AH10" s="74">
        <v>0.50421182504882811</v>
      </c>
      <c r="AI10" s="74">
        <v>0.50421182504882811</v>
      </c>
      <c r="AJ10" s="74">
        <v>0.50421182504882811</v>
      </c>
      <c r="AK10" s="74">
        <v>0.50421182504882811</v>
      </c>
      <c r="AL10" s="74">
        <v>0.50421182504882811</v>
      </c>
      <c r="AM10" s="74">
        <v>0.50421182504882811</v>
      </c>
      <c r="AN10" s="74">
        <v>0.50421182504882811</v>
      </c>
      <c r="AO10" s="74">
        <v>0.50421182504882811</v>
      </c>
      <c r="AP10" s="74">
        <v>1.959478700687356</v>
      </c>
      <c r="AQ10" s="74">
        <v>1.959478700687356</v>
      </c>
      <c r="AR10" s="74">
        <v>1.959478700687356</v>
      </c>
      <c r="AS10" s="74">
        <v>3.4748423359341585</v>
      </c>
      <c r="AT10" s="74">
        <v>3.5315611501480548</v>
      </c>
      <c r="AU10" s="74">
        <v>3.5315611501480548</v>
      </c>
      <c r="AV10" s="74">
        <v>5.4695842215922719</v>
      </c>
      <c r="AW10" s="74">
        <v>5.4695842215922719</v>
      </c>
      <c r="AX10" s="74">
        <v>5.4695842215922719</v>
      </c>
      <c r="AY10" s="74">
        <v>5.8076275803462307</v>
      </c>
      <c r="AZ10" s="74">
        <v>6.1431309933159151</v>
      </c>
      <c r="BA10" s="74">
        <v>7.0553322695946052</v>
      </c>
      <c r="BB10" s="74">
        <v>6.9943299969830841</v>
      </c>
      <c r="BC10" s="74">
        <v>7.5789392515603904</v>
      </c>
      <c r="BD10" s="74">
        <v>7.7409419530038326</v>
      </c>
      <c r="BE10" s="74">
        <v>5.7351013006111451</v>
      </c>
      <c r="BF10" s="74">
        <v>5.7378775047501884</v>
      </c>
      <c r="BG10" s="74">
        <v>5.7378775047501884</v>
      </c>
      <c r="BH10" s="74">
        <v>3.7949244947221628</v>
      </c>
      <c r="BI10" s="74">
        <v>3.7949244947221628</v>
      </c>
      <c r="BJ10" s="74">
        <v>3.7949244947221628</v>
      </c>
      <c r="BK10" s="74">
        <v>3.4633114938431353</v>
      </c>
      <c r="BL10" s="74">
        <v>3.1362786109944585</v>
      </c>
      <c r="BM10" s="74">
        <v>1.9012945086845034</v>
      </c>
      <c r="BN10" s="74">
        <v>0.60186407053881563</v>
      </c>
      <c r="BO10" s="74">
        <v>0.17773972757653134</v>
      </c>
      <c r="BP10" s="74">
        <v>0.12238971808460342</v>
      </c>
      <c r="BQ10" s="74">
        <v>0.70552028152606194</v>
      </c>
      <c r="BR10" s="74">
        <v>0.64770705943395512</v>
      </c>
      <c r="BS10" s="74">
        <v>0.52925684653943872</v>
      </c>
      <c r="BT10" s="74">
        <v>6.5607025260572271E-2</v>
      </c>
      <c r="BU10" s="74">
        <v>6.5607025260572271E-2</v>
      </c>
      <c r="BV10" s="74">
        <v>6.5607025260572271E-2</v>
      </c>
      <c r="BW10" s="74">
        <v>6.5607025260572271E-2</v>
      </c>
      <c r="BX10" s="74">
        <v>6.5607025260572271E-2</v>
      </c>
      <c r="BY10" s="74">
        <v>0.41536718358903268</v>
      </c>
      <c r="BZ10" s="74">
        <v>0.68302054609423735</v>
      </c>
      <c r="CA10" s="74">
        <v>0.55983247868458541</v>
      </c>
      <c r="CB10" s="74">
        <v>0.46413576994517314</v>
      </c>
      <c r="CC10" s="74">
        <v>-0.21640761530786756</v>
      </c>
      <c r="CD10" s="74">
        <v>-0.21640761530786756</v>
      </c>
      <c r="CE10" s="74">
        <v>-9.8835993552148782E-2</v>
      </c>
      <c r="CF10" s="74">
        <v>0.36405188784998099</v>
      </c>
      <c r="CG10" s="74">
        <v>0.36405188784998099</v>
      </c>
      <c r="CH10" s="74">
        <v>0.24125408617092781</v>
      </c>
      <c r="CI10" s="74">
        <v>-0.36850526321166033</v>
      </c>
      <c r="CJ10" s="74">
        <v>-0.36850526321166033</v>
      </c>
      <c r="CK10" s="74">
        <v>-0.36850526321166033</v>
      </c>
      <c r="CL10" s="74">
        <v>-0.53339384276532842</v>
      </c>
      <c r="CM10" s="74">
        <v>-0.53339384276532842</v>
      </c>
      <c r="CN10" s="74">
        <v>-0.53339384276532842</v>
      </c>
      <c r="CO10" s="74">
        <v>0.10437888929273331</v>
      </c>
      <c r="CP10" s="74">
        <v>0.10437888929273331</v>
      </c>
      <c r="CQ10" s="74">
        <v>-0.13983147495127968</v>
      </c>
      <c r="CR10" s="74">
        <v>-0.15015847046322417</v>
      </c>
      <c r="CS10" s="74">
        <v>-0.13983147495127968</v>
      </c>
      <c r="CT10" s="74">
        <v>-1.7500511697021714E-2</v>
      </c>
    </row>
    <row r="11" spans="1:98" ht="15.5" x14ac:dyDescent="0.35">
      <c r="A11" s="88"/>
      <c r="B11" s="38"/>
      <c r="C11" s="31" t="s">
        <v>71</v>
      </c>
      <c r="D11" s="34" t="s">
        <v>69</v>
      </c>
      <c r="E11" s="102">
        <f>VLOOKUP(C11,[1]CLASSI_EAI!A:G,7,FALSE)</f>
        <v>36.9704815022411</v>
      </c>
      <c r="F11" s="74">
        <v>-22.361953885486962</v>
      </c>
      <c r="G11" s="74">
        <v>-15.795503749781615</v>
      </c>
      <c r="H11" s="74">
        <v>-16.009705270513951</v>
      </c>
      <c r="I11" s="74">
        <v>-17.983345093433378</v>
      </c>
      <c r="J11" s="74">
        <v>-21.101421351909444</v>
      </c>
      <c r="K11" s="74">
        <v>-15.463063978575331</v>
      </c>
      <c r="L11" s="74">
        <v>-6.0927030918178087</v>
      </c>
      <c r="M11" s="74">
        <v>0.65809653834276727</v>
      </c>
      <c r="N11" s="74">
        <v>6.9774637746751855</v>
      </c>
      <c r="O11" s="74">
        <v>2.8187747511999817</v>
      </c>
      <c r="P11" s="74">
        <v>-4.8528584378848105</v>
      </c>
      <c r="Q11" s="74">
        <v>-16.795605329480622</v>
      </c>
      <c r="R11" s="74">
        <v>-21.243355307877522</v>
      </c>
      <c r="S11" s="74">
        <v>-27.202819161927373</v>
      </c>
      <c r="T11" s="74">
        <v>-21.288859425700434</v>
      </c>
      <c r="U11" s="74">
        <v>-14.268306134033725</v>
      </c>
      <c r="V11" s="74">
        <v>-7.0843942606887644</v>
      </c>
      <c r="W11" s="74">
        <v>2.3106339091542472</v>
      </c>
      <c r="X11" s="74">
        <v>7.752471187289367</v>
      </c>
      <c r="Y11" s="74">
        <v>4.7644026261228101</v>
      </c>
      <c r="Z11" s="74">
        <v>4.4853545333807476</v>
      </c>
      <c r="AA11" s="74">
        <v>5.3773823837740542</v>
      </c>
      <c r="AB11" s="74">
        <v>2.1265247019139677</v>
      </c>
      <c r="AC11" s="74">
        <v>6.2333443126404653</v>
      </c>
      <c r="AD11" s="74">
        <v>5.0116128118466996</v>
      </c>
      <c r="AE11" s="74">
        <v>4.7068428735771217</v>
      </c>
      <c r="AF11" s="74">
        <v>-6.2112801401749573</v>
      </c>
      <c r="AG11" s="74">
        <v>-8.4125770484361766</v>
      </c>
      <c r="AH11" s="74">
        <v>-7.1511252628394413</v>
      </c>
      <c r="AI11" s="74">
        <v>-15.079972374143624</v>
      </c>
      <c r="AJ11" s="74">
        <v>-8.2577330660344224</v>
      </c>
      <c r="AK11" s="74">
        <v>-1.5649610647644696</v>
      </c>
      <c r="AL11" s="74">
        <v>-3.7042183918895466</v>
      </c>
      <c r="AM11" s="74">
        <v>-5.1615985312269412</v>
      </c>
      <c r="AN11" s="74">
        <v>1.1629761946289952</v>
      </c>
      <c r="AO11" s="74">
        <v>6.150934981977052</v>
      </c>
      <c r="AP11" s="74">
        <v>9.4008453261013472</v>
      </c>
      <c r="AQ11" s="74">
        <v>6.8927853045535281</v>
      </c>
      <c r="AR11" s="74">
        <v>0.84929296378197794</v>
      </c>
      <c r="AS11" s="74">
        <v>4.8519852304744759</v>
      </c>
      <c r="AT11" s="74">
        <v>15.642289942562272</v>
      </c>
      <c r="AU11" s="74">
        <v>22.438654013072746</v>
      </c>
      <c r="AV11" s="74">
        <v>16.160580209010099</v>
      </c>
      <c r="AW11" s="74">
        <v>15.859735225547755</v>
      </c>
      <c r="AX11" s="74">
        <v>21.783628228399145</v>
      </c>
      <c r="AY11" s="74">
        <v>25.592871083309742</v>
      </c>
      <c r="AZ11" s="74">
        <v>21.865129695477805</v>
      </c>
      <c r="BA11" s="74">
        <v>26.193580099413929</v>
      </c>
      <c r="BB11" s="74">
        <v>29.527441924377307</v>
      </c>
      <c r="BC11" s="74">
        <v>31.271814794544085</v>
      </c>
      <c r="BD11" s="74">
        <v>66.503343191797754</v>
      </c>
      <c r="BE11" s="74">
        <v>69.307328327994128</v>
      </c>
      <c r="BF11" s="74">
        <v>60.154204878791752</v>
      </c>
      <c r="BG11" s="74">
        <v>43.863432922838051</v>
      </c>
      <c r="BH11" s="74">
        <v>46.800055986262358</v>
      </c>
      <c r="BI11" s="74">
        <v>42.153443364944351</v>
      </c>
      <c r="BJ11" s="74">
        <v>30.424879805858819</v>
      </c>
      <c r="BK11" s="74">
        <v>32.695512371551551</v>
      </c>
      <c r="BL11" s="74">
        <v>30.967439457008304</v>
      </c>
      <c r="BM11" s="74">
        <v>32.807849162122473</v>
      </c>
      <c r="BN11" s="74">
        <v>35.399672061222851</v>
      </c>
      <c r="BO11" s="74">
        <v>48.231042581804218</v>
      </c>
      <c r="BP11" s="74">
        <v>27.731920284358868</v>
      </c>
      <c r="BQ11" s="74">
        <v>22.254191236287092</v>
      </c>
      <c r="BR11" s="74">
        <v>17.321970351435169</v>
      </c>
      <c r="BS11" s="74">
        <v>22.538606807702454</v>
      </c>
      <c r="BT11" s="74">
        <v>13.029015578716209</v>
      </c>
      <c r="BU11" s="74">
        <v>5.2626695327028461</v>
      </c>
      <c r="BV11" s="74">
        <v>-2.8005862858292319</v>
      </c>
      <c r="BW11" s="74">
        <v>-10.210084548025266</v>
      </c>
      <c r="BX11" s="74">
        <v>-10.011510624125641</v>
      </c>
      <c r="BY11" s="74">
        <v>-14.779241398579156</v>
      </c>
      <c r="BZ11" s="74">
        <v>-18.763112283559213</v>
      </c>
      <c r="CA11" s="74">
        <v>-27.813844294688671</v>
      </c>
      <c r="CB11" s="74">
        <v>-30.835530496087284</v>
      </c>
      <c r="CC11" s="74">
        <v>-25.834480360443568</v>
      </c>
      <c r="CD11" s="74">
        <v>-21.166189257978772</v>
      </c>
      <c r="CE11" s="74">
        <v>-16.813548769286125</v>
      </c>
      <c r="CF11" s="74">
        <v>-14.948318353133006</v>
      </c>
      <c r="CG11" s="74">
        <v>-10.99587500976914</v>
      </c>
      <c r="CH11" s="74">
        <v>0.47486653944996959</v>
      </c>
      <c r="CI11" s="74">
        <v>7.3469196245540935</v>
      </c>
      <c r="CJ11" s="74">
        <v>9.410469324216276</v>
      </c>
      <c r="CK11" s="74">
        <v>9.9671219939750912</v>
      </c>
      <c r="CL11" s="74">
        <v>15.639066104794841</v>
      </c>
      <c r="CM11" s="74">
        <v>12.754325394044175</v>
      </c>
      <c r="CN11" s="74">
        <v>22.137429479403693</v>
      </c>
      <c r="CO11" s="74">
        <v>10.548708494396042</v>
      </c>
      <c r="CP11" s="74">
        <v>3.5612588937641743</v>
      </c>
      <c r="CQ11" s="74">
        <v>-5.1157323764910112</v>
      </c>
      <c r="CR11" s="74">
        <v>-4.9712130403692711</v>
      </c>
      <c r="CS11" s="74">
        <v>-7.2662353087035498</v>
      </c>
      <c r="CT11" s="74">
        <v>-4.8199150489783733</v>
      </c>
    </row>
    <row r="12" spans="1:98" ht="15.5" x14ac:dyDescent="0.35">
      <c r="A12" s="88"/>
      <c r="B12" s="38"/>
      <c r="C12" s="31" t="s">
        <v>72</v>
      </c>
      <c r="D12" s="34" t="s">
        <v>73</v>
      </c>
      <c r="E12" s="102">
        <f>VLOOKUP(C12,[1]CLASSI_EAI!A:G,7,FALSE)</f>
        <v>2.5251990265486399</v>
      </c>
      <c r="F12" s="74">
        <v>-4.5742913526580775E-2</v>
      </c>
      <c r="G12" s="74">
        <v>-4.5742913526580775E-2</v>
      </c>
      <c r="H12" s="74">
        <v>-4.5742913526580775E-2</v>
      </c>
      <c r="I12" s="74">
        <v>-4.5742913526580775E-2</v>
      </c>
      <c r="J12" s="74">
        <v>-4.5742913526580775E-2</v>
      </c>
      <c r="K12" s="74">
        <v>-4.5742913526580775E-2</v>
      </c>
      <c r="L12" s="74">
        <v>0</v>
      </c>
      <c r="M12" s="74">
        <v>21.951153458454307</v>
      </c>
      <c r="N12" s="74">
        <v>25.636504838259498</v>
      </c>
      <c r="O12" s="74">
        <v>29.630436021758921</v>
      </c>
      <c r="P12" s="74">
        <v>29.630436021758921</v>
      </c>
      <c r="Q12" s="74">
        <v>29.630436021758921</v>
      </c>
      <c r="R12" s="74">
        <v>29.630436021758921</v>
      </c>
      <c r="S12" s="74">
        <v>29.630436021758921</v>
      </c>
      <c r="T12" s="74">
        <v>29.630436021758921</v>
      </c>
      <c r="U12" s="74">
        <v>29.630436021758921</v>
      </c>
      <c r="V12" s="74">
        <v>29.630436021758921</v>
      </c>
      <c r="W12" s="74">
        <v>29.630436021758921</v>
      </c>
      <c r="X12" s="74">
        <v>29.630436021758921</v>
      </c>
      <c r="Y12" s="74">
        <v>6.2970151126293006</v>
      </c>
      <c r="Z12" s="74">
        <v>3.1789575717989793</v>
      </c>
      <c r="AA12" s="74">
        <v>0</v>
      </c>
      <c r="AB12" s="74">
        <v>0</v>
      </c>
      <c r="AC12" s="74">
        <v>0</v>
      </c>
      <c r="AD12" s="74">
        <v>1.0045743820591646</v>
      </c>
      <c r="AE12" s="74">
        <v>-0.58264837224416555</v>
      </c>
      <c r="AF12" s="74">
        <v>-0.58264837224416555</v>
      </c>
      <c r="AG12" s="74">
        <v>-0.58264837224416555</v>
      </c>
      <c r="AH12" s="74">
        <v>-0.58264837224416555</v>
      </c>
      <c r="AI12" s="74">
        <v>-0.58264837224416555</v>
      </c>
      <c r="AJ12" s="74">
        <v>-0.58264837224416555</v>
      </c>
      <c r="AK12" s="74">
        <v>-0.58264837224416555</v>
      </c>
      <c r="AL12" s="74">
        <v>-0.58264837224416555</v>
      </c>
      <c r="AM12" s="74">
        <v>-0.58264837224416555</v>
      </c>
      <c r="AN12" s="74">
        <v>-0.58264837224416555</v>
      </c>
      <c r="AO12" s="74">
        <v>-0.58264837224416555</v>
      </c>
      <c r="AP12" s="74">
        <v>-1.5714365057363677</v>
      </c>
      <c r="AQ12" s="74">
        <v>0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15.766282808584187</v>
      </c>
      <c r="BE12" s="74">
        <v>17.961624168380563</v>
      </c>
      <c r="BF12" s="74">
        <v>17.961624168380563</v>
      </c>
      <c r="BG12" s="74">
        <v>17.961624168380563</v>
      </c>
      <c r="BH12" s="74">
        <v>17.961624168380563</v>
      </c>
      <c r="BI12" s="74">
        <v>17.961624168380563</v>
      </c>
      <c r="BJ12" s="74">
        <v>17.961624168380563</v>
      </c>
      <c r="BK12" s="74">
        <v>17.961624168380563</v>
      </c>
      <c r="BL12" s="74">
        <v>17.961624168380563</v>
      </c>
      <c r="BM12" s="74">
        <v>17.961624168380563</v>
      </c>
      <c r="BN12" s="74">
        <v>17.961624168380563</v>
      </c>
      <c r="BO12" s="74">
        <v>17.961624168380563</v>
      </c>
      <c r="BP12" s="74">
        <v>1.8963564403517319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74">
        <v>0.70553916824420693</v>
      </c>
      <c r="BW12" s="74">
        <v>0.70553916824420693</v>
      </c>
      <c r="BX12" s="74">
        <v>0.70553916824420693</v>
      </c>
      <c r="BY12" s="74">
        <v>0.70553916824420693</v>
      </c>
      <c r="BZ12" s="74">
        <v>0.70553916824420693</v>
      </c>
      <c r="CA12" s="74">
        <v>0.70553916824420693</v>
      </c>
      <c r="CB12" s="74">
        <v>0.70553916824420693</v>
      </c>
      <c r="CC12" s="74">
        <v>0.70553916824420693</v>
      </c>
      <c r="CD12" s="74">
        <v>0.70553916824420693</v>
      </c>
      <c r="CE12" s="74">
        <v>2.3876244748555209</v>
      </c>
      <c r="CF12" s="74">
        <v>2.3876244748554987</v>
      </c>
      <c r="CG12" s="74">
        <v>2.3876244748554987</v>
      </c>
      <c r="CH12" s="74">
        <v>16.395130988987706</v>
      </c>
      <c r="CI12" s="74">
        <v>16.39513098898766</v>
      </c>
      <c r="CJ12" s="74">
        <v>7.5372275184849347</v>
      </c>
      <c r="CK12" s="74">
        <v>8.5477171928911346</v>
      </c>
      <c r="CL12" s="74">
        <v>8.5477171928911346</v>
      </c>
      <c r="CM12" s="74">
        <v>8.5477171928911346</v>
      </c>
      <c r="CN12" s="74">
        <v>9.7534817473946092</v>
      </c>
      <c r="CO12" s="74">
        <v>9.7534817473946092</v>
      </c>
      <c r="CP12" s="74">
        <v>9.7534817473946092</v>
      </c>
      <c r="CQ12" s="74">
        <v>7.9503857194946459</v>
      </c>
      <c r="CR12" s="74">
        <v>7.9503857194946681</v>
      </c>
      <c r="CS12" s="74">
        <v>9.2672432473136279</v>
      </c>
      <c r="CT12" s="74">
        <v>-4.555857438761624</v>
      </c>
    </row>
    <row r="13" spans="1:98" ht="15.5" x14ac:dyDescent="0.35">
      <c r="A13" s="88"/>
      <c r="B13" s="38"/>
      <c r="C13" s="31" t="s">
        <v>75</v>
      </c>
      <c r="D13" s="34" t="s">
        <v>76</v>
      </c>
      <c r="E13" s="102">
        <f>VLOOKUP(C13,[1]CLASSI_EAI!A:G,7,FALSE)</f>
        <v>8.7142195975881709</v>
      </c>
      <c r="F13" s="74">
        <v>33.904290167547238</v>
      </c>
      <c r="G13" s="74">
        <v>46.688658164958198</v>
      </c>
      <c r="H13" s="74">
        <v>45.252469916388918</v>
      </c>
      <c r="I13" s="74">
        <v>58.433037474680916</v>
      </c>
      <c r="J13" s="74">
        <v>58.360020955370537</v>
      </c>
      <c r="K13" s="74">
        <v>58.614112096363314</v>
      </c>
      <c r="L13" s="74">
        <v>17.586981873050966</v>
      </c>
      <c r="M13" s="74">
        <v>16.793115508294896</v>
      </c>
      <c r="N13" s="74">
        <v>17.123121088215811</v>
      </c>
      <c r="O13" s="74">
        <v>16.52950752476141</v>
      </c>
      <c r="P13" s="74">
        <v>17.728166233284568</v>
      </c>
      <c r="Q13" s="74">
        <v>17.357523802423902</v>
      </c>
      <c r="R13" s="74">
        <v>17.398349950891934</v>
      </c>
      <c r="S13" s="74">
        <v>7.1660620724429691</v>
      </c>
      <c r="T13" s="74">
        <v>8.5420263261486227</v>
      </c>
      <c r="U13" s="74">
        <v>-9.4353697011906323E-2</v>
      </c>
      <c r="V13" s="74">
        <v>-0.33113284268302401</v>
      </c>
      <c r="W13" s="74">
        <v>-0.42982729009088949</v>
      </c>
      <c r="X13" s="74">
        <v>-0.29892674667695296</v>
      </c>
      <c r="Y13" s="74">
        <v>0.12603343157175928</v>
      </c>
      <c r="Z13" s="74">
        <v>-6.3838139149463569E-2</v>
      </c>
      <c r="AA13" s="74">
        <v>0.37034098415458239</v>
      </c>
      <c r="AB13" s="74">
        <v>0.10348516067202329</v>
      </c>
      <c r="AC13" s="74">
        <v>0.64078244398209083</v>
      </c>
      <c r="AD13" s="74">
        <v>1.0536670472979681</v>
      </c>
      <c r="AE13" s="74">
        <v>1.1972655812424904</v>
      </c>
      <c r="AF13" s="74">
        <v>0.5133633994374609</v>
      </c>
      <c r="AG13" s="74">
        <v>0.27425776978333705</v>
      </c>
      <c r="AH13" s="74">
        <v>0.52760561389257887</v>
      </c>
      <c r="AI13" s="74">
        <v>0.99175173479486567</v>
      </c>
      <c r="AJ13" s="74">
        <v>0.91259635793150551</v>
      </c>
      <c r="AK13" s="74">
        <v>1.0772733749395691</v>
      </c>
      <c r="AL13" s="74">
        <v>0.69080129277052649</v>
      </c>
      <c r="AM13" s="74">
        <v>1.5648822893711722</v>
      </c>
      <c r="AN13" s="74">
        <v>1.1096259773762496</v>
      </c>
      <c r="AO13" s="74">
        <v>1.057209099029599</v>
      </c>
      <c r="AP13" s="74">
        <v>11.135696247411687</v>
      </c>
      <c r="AQ13" s="74">
        <v>11.005564148915115</v>
      </c>
      <c r="AR13" s="74">
        <v>9.1907943399738734</v>
      </c>
      <c r="AS13" s="74">
        <v>9.2730856897345291</v>
      </c>
      <c r="AT13" s="74">
        <v>9.0870146778566188</v>
      </c>
      <c r="AU13" s="74">
        <v>9.3986329543497948</v>
      </c>
      <c r="AV13" s="74">
        <v>9.8716879628605536</v>
      </c>
      <c r="AW13" s="74">
        <v>9.8302781165268129</v>
      </c>
      <c r="AX13" s="74">
        <v>9.7345015339995733</v>
      </c>
      <c r="AY13" s="74">
        <v>9.9780766791454312</v>
      </c>
      <c r="AZ13" s="74">
        <v>9.6881441344537365</v>
      </c>
      <c r="BA13" s="74">
        <v>9.8775097422440616</v>
      </c>
      <c r="BB13" s="74">
        <v>7.1678069770331199E-2</v>
      </c>
      <c r="BC13" s="74">
        <v>-0.36135515097938109</v>
      </c>
      <c r="BD13" s="74">
        <v>1.7672693624493085</v>
      </c>
      <c r="BE13" s="74">
        <v>1.4582347044924227</v>
      </c>
      <c r="BF13" s="74">
        <v>1.8608161018993874</v>
      </c>
      <c r="BG13" s="74">
        <v>1.0375689339852112</v>
      </c>
      <c r="BH13" s="74">
        <v>0.49633850582693206</v>
      </c>
      <c r="BI13" s="74">
        <v>0.35911052885992945</v>
      </c>
      <c r="BJ13" s="74">
        <v>0.83223943097026076</v>
      </c>
      <c r="BK13" s="74">
        <v>-0.2569337294055396</v>
      </c>
      <c r="BL13" s="74">
        <v>-0.60796424824325346</v>
      </c>
      <c r="BM13" s="74">
        <v>-1.0879839605802188</v>
      </c>
      <c r="BN13" s="74">
        <v>-2.3442220927200608</v>
      </c>
      <c r="BO13" s="74">
        <v>-1.5073634749307563</v>
      </c>
      <c r="BP13" s="74">
        <v>-2.2413932560950589</v>
      </c>
      <c r="BQ13" s="74">
        <v>-3.1863024927307082</v>
      </c>
      <c r="BR13" s="74">
        <v>-4.0707461335377619</v>
      </c>
      <c r="BS13" s="74">
        <v>-3.5902764758396266</v>
      </c>
      <c r="BT13" s="74">
        <v>-3.5671838089792796</v>
      </c>
      <c r="BU13" s="74">
        <v>-3.3855296256550926</v>
      </c>
      <c r="BV13" s="74">
        <v>-2.9357195876949627</v>
      </c>
      <c r="BW13" s="74">
        <v>-2.3802612213162155</v>
      </c>
      <c r="BX13" s="74">
        <v>-2.8404477231021574</v>
      </c>
      <c r="BY13" s="74">
        <v>-2.717623030310734</v>
      </c>
      <c r="BZ13" s="74">
        <v>-1.9764997217229463</v>
      </c>
      <c r="CA13" s="74">
        <v>-1.6174588335197915</v>
      </c>
      <c r="CB13" s="74">
        <v>-0.37731094211438387</v>
      </c>
      <c r="CC13" s="74">
        <v>0.66317662323018833</v>
      </c>
      <c r="CD13" s="74">
        <v>1.4171263099792997</v>
      </c>
      <c r="CE13" s="74">
        <v>1.3312076347826718</v>
      </c>
      <c r="CF13" s="74">
        <v>1.7318978346347436</v>
      </c>
      <c r="CG13" s="74">
        <v>1.9327221903902014</v>
      </c>
      <c r="CH13" s="74">
        <v>1.459415158115851</v>
      </c>
      <c r="CI13" s="74">
        <v>-2.6952732189025164</v>
      </c>
      <c r="CJ13" s="74">
        <v>-1.3742858953666559</v>
      </c>
      <c r="CK13" s="74">
        <v>-1.1913638643149316</v>
      </c>
      <c r="CL13" s="74">
        <v>-1.5551045960267351</v>
      </c>
      <c r="CM13" s="74">
        <v>-2.1766137018903842</v>
      </c>
      <c r="CN13" s="74">
        <v>-2.5142683038116065</v>
      </c>
      <c r="CO13" s="74">
        <v>-3.3915409178212563</v>
      </c>
      <c r="CP13" s="74">
        <v>-3.358642397723699</v>
      </c>
      <c r="CQ13" s="74">
        <v>-3.1597202215741915</v>
      </c>
      <c r="CR13" s="74">
        <v>-3.3241729002444598</v>
      </c>
      <c r="CS13" s="74">
        <v>-3.6732542867075391</v>
      </c>
      <c r="CT13" s="74">
        <v>-3.2449939825890617</v>
      </c>
    </row>
    <row r="14" spans="1:98" ht="15.5" x14ac:dyDescent="0.35">
      <c r="A14" s="88"/>
      <c r="B14" s="38"/>
      <c r="C14" s="31" t="s">
        <v>78</v>
      </c>
      <c r="D14" s="34" t="s">
        <v>79</v>
      </c>
      <c r="E14" s="102">
        <f>VLOOKUP(C14,[1]CLASSI_EAI!A:G,7,FALSE)</f>
        <v>22.7433092031056</v>
      </c>
      <c r="F14" s="74">
        <v>5.3884536849216014</v>
      </c>
      <c r="G14" s="74">
        <v>1.827375466071457</v>
      </c>
      <c r="H14" s="74">
        <v>1.8389189893494917</v>
      </c>
      <c r="I14" s="74">
        <v>2.330756496855213</v>
      </c>
      <c r="J14" s="74">
        <v>3.5760997075360734</v>
      </c>
      <c r="K14" s="74">
        <v>3.3809149416354156</v>
      </c>
      <c r="L14" s="74">
        <v>4.5274029476421784</v>
      </c>
      <c r="M14" s="74">
        <v>1.3339951345607171</v>
      </c>
      <c r="N14" s="74">
        <v>1.6323930360574668</v>
      </c>
      <c r="O14" s="74">
        <v>4.0627358057621965</v>
      </c>
      <c r="P14" s="74">
        <v>3.6483281639082543</v>
      </c>
      <c r="Q14" s="74">
        <v>2.5101682126541958</v>
      </c>
      <c r="R14" s="74">
        <v>0.80766242587815285</v>
      </c>
      <c r="S14" s="74">
        <v>1.6299671583256625</v>
      </c>
      <c r="T14" s="74">
        <v>1.5870369218621727</v>
      </c>
      <c r="U14" s="74">
        <v>1.2540434964338543</v>
      </c>
      <c r="V14" s="74">
        <v>0.1951706820936927</v>
      </c>
      <c r="W14" s="74">
        <v>0.99915029795900612</v>
      </c>
      <c r="X14" s="74">
        <v>0.75910943259365204</v>
      </c>
      <c r="Y14" s="74">
        <v>0.72342470462305464</v>
      </c>
      <c r="Z14" s="74">
        <v>0.78054301039216512</v>
      </c>
      <c r="AA14" s="74">
        <v>-0.43865325824014034</v>
      </c>
      <c r="AB14" s="74">
        <v>-0.39618413613476955</v>
      </c>
      <c r="AC14" s="74">
        <v>6.1251747318324945E-2</v>
      </c>
      <c r="AD14" s="74">
        <v>0.14259456539997828</v>
      </c>
      <c r="AE14" s="74">
        <v>-0.19859998000524293</v>
      </c>
      <c r="AF14" s="74">
        <v>0.8124388559491047</v>
      </c>
      <c r="AG14" s="74">
        <v>0.71143799043704714</v>
      </c>
      <c r="AH14" s="74">
        <v>1.1251550388559295</v>
      </c>
      <c r="AI14" s="74">
        <v>0.32638111901281963</v>
      </c>
      <c r="AJ14" s="74">
        <v>0.29742431491994736</v>
      </c>
      <c r="AK14" s="74">
        <v>0.45533691637860141</v>
      </c>
      <c r="AL14" s="74">
        <v>0.28052322802705199</v>
      </c>
      <c r="AM14" s="74">
        <v>-0.10578397284437546</v>
      </c>
      <c r="AN14" s="74">
        <v>-0.27742375514799855</v>
      </c>
      <c r="AO14" s="74">
        <v>-0.22884795903898025</v>
      </c>
      <c r="AP14" s="74">
        <v>0.5582561075367698</v>
      </c>
      <c r="AQ14" s="74">
        <v>0.52097273877644845</v>
      </c>
      <c r="AR14" s="74">
        <v>-0.67322501100698373</v>
      </c>
      <c r="AS14" s="74">
        <v>-0.72241747057598671</v>
      </c>
      <c r="AT14" s="74">
        <v>-0.5525390802580632</v>
      </c>
      <c r="AU14" s="74">
        <v>-0.58660815334775629</v>
      </c>
      <c r="AV14" s="74">
        <v>-0.40928743550044944</v>
      </c>
      <c r="AW14" s="74">
        <v>-0.40928743550044944</v>
      </c>
      <c r="AX14" s="74">
        <v>0.28166426664208988</v>
      </c>
      <c r="AY14" s="74">
        <v>0.96485255556759686</v>
      </c>
      <c r="AZ14" s="74">
        <v>1.1870760984163731</v>
      </c>
      <c r="BA14" s="74">
        <v>1.5940265715233215</v>
      </c>
      <c r="BB14" s="74">
        <v>1.2222873849134563</v>
      </c>
      <c r="BC14" s="74">
        <v>1.2222873849134563</v>
      </c>
      <c r="BD14" s="74">
        <v>1.5639242890127969</v>
      </c>
      <c r="BE14" s="74">
        <v>1.7753470854842579</v>
      </c>
      <c r="BF14" s="74">
        <v>1.6014921476404043</v>
      </c>
      <c r="BG14" s="74">
        <v>1.8219003445457238</v>
      </c>
      <c r="BH14" s="74">
        <v>3.6722943189852586</v>
      </c>
      <c r="BI14" s="74">
        <v>3.6722943189852586</v>
      </c>
      <c r="BJ14" s="74">
        <v>3.1374619600223586</v>
      </c>
      <c r="BK14" s="74">
        <v>2.4395725026806758</v>
      </c>
      <c r="BL14" s="74">
        <v>2.4395725026806758</v>
      </c>
      <c r="BM14" s="74">
        <v>2.0292350655136238</v>
      </c>
      <c r="BN14" s="74">
        <v>2.0292350655136238</v>
      </c>
      <c r="BO14" s="74">
        <v>2.0292350655136238</v>
      </c>
      <c r="BP14" s="74">
        <v>2.0292350655136238</v>
      </c>
      <c r="BQ14" s="74">
        <v>1.8172848553976495</v>
      </c>
      <c r="BR14" s="74">
        <v>1.8172848553976495</v>
      </c>
      <c r="BS14" s="74">
        <v>1.8172848553976495</v>
      </c>
      <c r="BT14" s="74">
        <v>0</v>
      </c>
      <c r="BU14" s="74">
        <v>0</v>
      </c>
      <c r="BV14" s="74">
        <v>0.18030797452406322</v>
      </c>
      <c r="BW14" s="74">
        <v>0.18030797452406322</v>
      </c>
      <c r="BX14" s="74">
        <v>0.18030797452406322</v>
      </c>
      <c r="BY14" s="74">
        <v>0.18030797452406322</v>
      </c>
      <c r="BZ14" s="74">
        <v>1.4784092936322768</v>
      </c>
      <c r="CA14" s="74">
        <v>1.1595275171093933</v>
      </c>
      <c r="CB14" s="74">
        <v>-1.3403397214947321</v>
      </c>
      <c r="CC14" s="74">
        <v>-1.3403397214947321</v>
      </c>
      <c r="CD14" s="74">
        <v>-1.3403397214947321</v>
      </c>
      <c r="CE14" s="74">
        <v>-0.53523853785455433</v>
      </c>
      <c r="CF14" s="74">
        <v>-0.53523853785455433</v>
      </c>
      <c r="CG14" s="74">
        <v>-3.3232372338278915</v>
      </c>
      <c r="CH14" s="74">
        <v>-3.3244190785415073</v>
      </c>
      <c r="CI14" s="74">
        <v>-3.3244190785415073</v>
      </c>
      <c r="CJ14" s="74">
        <v>-6.2412835713132058</v>
      </c>
      <c r="CK14" s="74">
        <v>-6.2412835713132058</v>
      </c>
      <c r="CL14" s="74">
        <v>-6.6381298910965452</v>
      </c>
      <c r="CM14" s="74">
        <v>-6.3438284077805935</v>
      </c>
      <c r="CN14" s="74">
        <v>-3.9707410243904673</v>
      </c>
      <c r="CO14" s="74">
        <v>-3.8837933691551974</v>
      </c>
      <c r="CP14" s="74">
        <v>-4.6763113333502249</v>
      </c>
      <c r="CQ14" s="74">
        <v>-5.4478932830407718</v>
      </c>
      <c r="CR14" s="74">
        <v>-5.4478932830407718</v>
      </c>
      <c r="CS14" s="74">
        <v>-2.72116617007363</v>
      </c>
      <c r="CT14" s="74">
        <v>-2.8950648923377509</v>
      </c>
    </row>
    <row r="15" spans="1:98" ht="15.5" x14ac:dyDescent="0.35">
      <c r="A15" s="88"/>
      <c r="B15" s="42">
        <v>108</v>
      </c>
      <c r="C15" s="37">
        <v>1080</v>
      </c>
      <c r="D15" s="34" t="s">
        <v>80</v>
      </c>
      <c r="E15" s="102">
        <f>[1]CLASSI_EAI!G273</f>
        <v>19.404789226877501</v>
      </c>
      <c r="F15" s="75">
        <v>7.4803860112138132E-2</v>
      </c>
      <c r="G15" s="75">
        <v>7.4803860112138132E-2</v>
      </c>
      <c r="H15" s="75">
        <v>0</v>
      </c>
      <c r="I15" s="75">
        <v>0</v>
      </c>
      <c r="J15" s="75">
        <v>0</v>
      </c>
      <c r="K15" s="75">
        <v>0</v>
      </c>
      <c r="L15" s="75">
        <v>0.62572318210982747</v>
      </c>
      <c r="M15" s="75">
        <v>0.62572318210982747</v>
      </c>
      <c r="N15" s="75">
        <v>0.62572318210982747</v>
      </c>
      <c r="O15" s="75">
        <v>0.62572318210982747</v>
      </c>
      <c r="P15" s="75">
        <v>1.6478948728740672</v>
      </c>
      <c r="Q15" s="75">
        <v>1.6478948728740672</v>
      </c>
      <c r="R15" s="75">
        <v>1.6478948728740672</v>
      </c>
      <c r="S15" s="75">
        <v>1.6478948728740672</v>
      </c>
      <c r="T15" s="75">
        <v>1.6478948728740672</v>
      </c>
      <c r="U15" s="75">
        <v>1.6478948728740672</v>
      </c>
      <c r="V15" s="75">
        <v>1.6478948728740672</v>
      </c>
      <c r="W15" s="75">
        <v>1.6478948728740672</v>
      </c>
      <c r="X15" s="75">
        <v>1.0158154977076173</v>
      </c>
      <c r="Y15" s="75">
        <v>1.0158154977076173</v>
      </c>
      <c r="Z15" s="75">
        <v>1.0158154977076173</v>
      </c>
      <c r="AA15" s="75">
        <v>1.0158154977076173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3.6369777922373059</v>
      </c>
      <c r="AJ15" s="75">
        <v>3.6369777922373059</v>
      </c>
      <c r="AK15" s="75">
        <v>3.6369777922373059</v>
      </c>
      <c r="AL15" s="75">
        <v>-3.7181529045966499</v>
      </c>
      <c r="AM15" s="75">
        <v>-3.7181529045966499</v>
      </c>
      <c r="AN15" s="75">
        <v>-3.7181529045966499</v>
      </c>
      <c r="AO15" s="75">
        <v>-3.7181529045966499</v>
      </c>
      <c r="AP15" s="75">
        <v>-3.7181529045966499</v>
      </c>
      <c r="AQ15" s="75">
        <v>-3.7181529045966499</v>
      </c>
      <c r="AR15" s="75">
        <v>-3.7181529045966499</v>
      </c>
      <c r="AS15" s="75">
        <v>1.4387880460888569</v>
      </c>
      <c r="AT15" s="75">
        <v>1.4387880460888569</v>
      </c>
      <c r="AU15" s="75">
        <v>0.90260737618093057</v>
      </c>
      <c r="AV15" s="75">
        <v>0.90260737618093057</v>
      </c>
      <c r="AW15" s="75">
        <v>0.90260737618093057</v>
      </c>
      <c r="AX15" s="75">
        <v>0.22996431739661372</v>
      </c>
      <c r="AY15" s="75">
        <v>0.22996431739661372</v>
      </c>
      <c r="AZ15" s="75">
        <v>0.22996431739661372</v>
      </c>
      <c r="BA15" s="75">
        <v>10.184868001268764</v>
      </c>
      <c r="BB15" s="75">
        <v>10.184868001268764</v>
      </c>
      <c r="BC15" s="75">
        <v>10.184868001268764</v>
      </c>
      <c r="BD15" s="75">
        <v>10.184868001268764</v>
      </c>
      <c r="BE15" s="75">
        <v>8.1335109036321906</v>
      </c>
      <c r="BF15" s="75">
        <v>8.1335109036321906</v>
      </c>
      <c r="BG15" s="75">
        <v>4.8931740190036654</v>
      </c>
      <c r="BH15" s="75">
        <v>4.8931740190036654</v>
      </c>
      <c r="BI15" s="75">
        <v>4.8931740190036654</v>
      </c>
      <c r="BJ15" s="75">
        <v>13.663851158497554</v>
      </c>
      <c r="BK15" s="75">
        <v>13.663851158497554</v>
      </c>
      <c r="BL15" s="75">
        <v>14.67545932173322</v>
      </c>
      <c r="BM15" s="75">
        <v>4.3148429035285929</v>
      </c>
      <c r="BN15" s="75">
        <v>3.6854857006554553</v>
      </c>
      <c r="BO15" s="75">
        <v>3.6854857006554553</v>
      </c>
      <c r="BP15" s="75">
        <v>3.3946307914341167</v>
      </c>
      <c r="BQ15" s="75">
        <v>0.86614036976060405</v>
      </c>
      <c r="BR15" s="75">
        <v>0.86614036976060405</v>
      </c>
      <c r="BS15" s="75">
        <v>0.86614036976060405</v>
      </c>
      <c r="BT15" s="75">
        <v>-0.32842585250869583</v>
      </c>
      <c r="BU15" s="75">
        <v>-0.32842585250869583</v>
      </c>
      <c r="BV15" s="75">
        <v>-0.34976347654233075</v>
      </c>
      <c r="BW15" s="75">
        <v>-13.107638947626299</v>
      </c>
      <c r="BX15" s="75">
        <v>-8.035690456765753</v>
      </c>
      <c r="BY15" s="75">
        <v>-8.035690456765753</v>
      </c>
      <c r="BZ15" s="75">
        <v>-7.4774792449729288</v>
      </c>
      <c r="CA15" s="75">
        <v>-7.4774792449729288</v>
      </c>
      <c r="CB15" s="75">
        <v>-7.217208192509716</v>
      </c>
      <c r="CC15" s="75">
        <v>-11.867954309457218</v>
      </c>
      <c r="CD15" s="75">
        <v>-13.326794727211343</v>
      </c>
      <c r="CE15" s="75">
        <v>-13.326794727211343</v>
      </c>
      <c r="CF15" s="75">
        <v>-12.288014269691105</v>
      </c>
      <c r="CG15" s="75">
        <v>-12.288014269691105</v>
      </c>
      <c r="CH15" s="75">
        <v>-12.269232925661777</v>
      </c>
      <c r="CI15" s="75">
        <v>0.61174058871258374</v>
      </c>
      <c r="CJ15" s="75">
        <v>-5.7757207017302807</v>
      </c>
      <c r="CK15" s="75">
        <v>-5.7757207017302807</v>
      </c>
      <c r="CL15" s="75">
        <v>-5.7757207017302807</v>
      </c>
      <c r="CM15" s="75">
        <v>-5.7757207017302807</v>
      </c>
      <c r="CN15" s="75">
        <v>-3.5559415428557895</v>
      </c>
      <c r="CO15" s="75">
        <v>0.6615607769136389</v>
      </c>
      <c r="CP15" s="75">
        <v>2.3558462589538198</v>
      </c>
      <c r="CQ15" s="75">
        <v>2.3558462589538198</v>
      </c>
      <c r="CR15" s="75">
        <v>2.3558462589537532</v>
      </c>
      <c r="CS15" s="75">
        <v>2.3558462589537532</v>
      </c>
      <c r="CT15" s="75">
        <v>2.3558462589538198</v>
      </c>
    </row>
    <row r="16" spans="1:98" ht="15.5" x14ac:dyDescent="0.35">
      <c r="A16" s="83">
        <v>11</v>
      </c>
      <c r="B16" s="44"/>
      <c r="C16" s="44"/>
      <c r="D16" s="45" t="s">
        <v>13</v>
      </c>
      <c r="E16" s="101">
        <f>E17+E18+E19+E20</f>
        <v>74.231219447824927</v>
      </c>
      <c r="F16" s="70">
        <v>0.24560229772114806</v>
      </c>
      <c r="G16" s="70">
        <v>1.3081988451617343</v>
      </c>
      <c r="H16" s="70">
        <v>1.3179790201843566</v>
      </c>
      <c r="I16" s="70">
        <v>1.4250806426424178</v>
      </c>
      <c r="J16" s="70">
        <v>1.4359716038906178</v>
      </c>
      <c r="K16" s="70">
        <v>6.1258235263567107</v>
      </c>
      <c r="L16" s="70">
        <v>6.1245598977640592</v>
      </c>
      <c r="M16" s="70">
        <v>6.1140057457852892</v>
      </c>
      <c r="N16" s="70">
        <v>6.1207615863483333</v>
      </c>
      <c r="O16" s="70">
        <v>5.914031931787167</v>
      </c>
      <c r="P16" s="70">
        <v>5.9130260064823581</v>
      </c>
      <c r="Q16" s="70">
        <v>5.6137468067196883</v>
      </c>
      <c r="R16" s="70">
        <v>5.6117885135734458</v>
      </c>
      <c r="S16" s="70">
        <v>4.4975203076818682</v>
      </c>
      <c r="T16" s="70">
        <v>4.1104457663753147</v>
      </c>
      <c r="U16" s="70">
        <v>3.8488001195171595</v>
      </c>
      <c r="V16" s="70">
        <v>3.7618605804527361</v>
      </c>
      <c r="W16" s="70">
        <v>-0.7291944343868817</v>
      </c>
      <c r="X16" s="70">
        <v>-1.2646450657524899</v>
      </c>
      <c r="Y16" s="70">
        <v>-1.2609590913652213</v>
      </c>
      <c r="Z16" s="70">
        <v>-0.98979723942753672</v>
      </c>
      <c r="AA16" s="70">
        <v>-0.44295738895846481</v>
      </c>
      <c r="AB16" s="70">
        <v>-0.43914072189299436</v>
      </c>
      <c r="AC16" s="70">
        <v>-0.22614535826109838</v>
      </c>
      <c r="AD16" s="70">
        <v>-1.4645039099035251</v>
      </c>
      <c r="AE16" s="70">
        <v>-1.4661435961017655</v>
      </c>
      <c r="AF16" s="70">
        <v>1.7286242833280951E-2</v>
      </c>
      <c r="AG16" s="70">
        <v>-0.16701248478763198</v>
      </c>
      <c r="AH16" s="70">
        <v>-8.7761514816053765E-2</v>
      </c>
      <c r="AI16" s="70">
        <v>-0.18164748859185176</v>
      </c>
      <c r="AJ16" s="70">
        <v>1.0038854610137982</v>
      </c>
      <c r="AK16" s="70">
        <v>0.28778486649960744</v>
      </c>
      <c r="AL16" s="70">
        <v>2.0786986884435699E-2</v>
      </c>
      <c r="AM16" s="70">
        <v>-1.2941162907441406</v>
      </c>
      <c r="AN16" s="70">
        <v>-1.2962382987845134</v>
      </c>
      <c r="AO16" s="70">
        <v>-1.2273473158367465</v>
      </c>
      <c r="AP16" s="70">
        <v>1.9762369601949992E-2</v>
      </c>
      <c r="AQ16" s="70">
        <v>1.3807563981438342E-2</v>
      </c>
      <c r="AR16" s="70">
        <v>-1.0315115661516439</v>
      </c>
      <c r="AS16" s="70">
        <v>-0.97469313616261877</v>
      </c>
      <c r="AT16" s="70">
        <v>-1.5416932803421379</v>
      </c>
      <c r="AU16" s="70">
        <v>-1.4076199209513529</v>
      </c>
      <c r="AV16" s="70">
        <v>-2.3442274797542573</v>
      </c>
      <c r="AW16" s="70">
        <v>-1.7501369199721228</v>
      </c>
      <c r="AX16" s="70">
        <v>-1.836184802453622</v>
      </c>
      <c r="AY16" s="70">
        <v>-0.72626601093914722</v>
      </c>
      <c r="AZ16" s="70">
        <v>1.4259005540580683</v>
      </c>
      <c r="BA16" s="70">
        <v>1.4299744358797772</v>
      </c>
      <c r="BB16" s="70">
        <v>1.5405015011332068</v>
      </c>
      <c r="BC16" s="70">
        <v>2.364305640445763</v>
      </c>
      <c r="BD16" s="70">
        <v>2.4450266282257216</v>
      </c>
      <c r="BE16" s="70">
        <v>3.4022955260703647</v>
      </c>
      <c r="BF16" s="70">
        <v>4.2763837651068171</v>
      </c>
      <c r="BG16" s="70">
        <v>5.1612229634140583</v>
      </c>
      <c r="BH16" s="70">
        <v>5.4743807015675383</v>
      </c>
      <c r="BI16" s="70">
        <v>6.1335057193400822</v>
      </c>
      <c r="BJ16" s="70">
        <v>6.2215398729551508</v>
      </c>
      <c r="BK16" s="70">
        <v>6.3494335985978312</v>
      </c>
      <c r="BL16" s="70">
        <v>4.1874582575729846</v>
      </c>
      <c r="BM16" s="70">
        <v>4.178714913328041</v>
      </c>
      <c r="BN16" s="70">
        <v>4.1365469137459865</v>
      </c>
      <c r="BO16" s="70">
        <v>4.6210211960967751</v>
      </c>
      <c r="BP16" s="70">
        <v>4.5572108442131221</v>
      </c>
      <c r="BQ16" s="70">
        <v>3.9379109491791464</v>
      </c>
      <c r="BR16" s="70">
        <v>3.2251931954263346</v>
      </c>
      <c r="BS16" s="70">
        <v>2.216207747003085</v>
      </c>
      <c r="BT16" s="70">
        <v>2.2336068126965758</v>
      </c>
      <c r="BU16" s="70">
        <v>2.7176909443159314</v>
      </c>
      <c r="BV16" s="70">
        <v>2.3277238332482852</v>
      </c>
      <c r="BW16" s="70">
        <v>2.6319146258231729</v>
      </c>
      <c r="BX16" s="70">
        <v>1.8436257054792682</v>
      </c>
      <c r="BY16" s="70">
        <v>1.8521730740990172</v>
      </c>
      <c r="BZ16" s="70">
        <v>1.6395611251138309</v>
      </c>
      <c r="CA16" s="70">
        <v>1.1567243469922328</v>
      </c>
      <c r="CB16" s="70">
        <v>5.4497393671004701E-2</v>
      </c>
      <c r="CC16" s="70">
        <v>-1.3225907875269449E-2</v>
      </c>
      <c r="CD16" s="70">
        <v>0.40518372845022022</v>
      </c>
      <c r="CE16" s="70">
        <v>0.98079896387690546</v>
      </c>
      <c r="CF16" s="70">
        <v>0.85884897666053117</v>
      </c>
      <c r="CG16" s="70">
        <v>-0.13397145383502451</v>
      </c>
      <c r="CH16" s="70">
        <v>0.24661422897962471</v>
      </c>
      <c r="CI16" s="70">
        <v>0.12113147337087238</v>
      </c>
      <c r="CJ16" s="70">
        <v>0.80083558879762151</v>
      </c>
      <c r="CK16" s="70">
        <v>0.80083558879762151</v>
      </c>
      <c r="CL16" s="70">
        <v>0.93823692439365391</v>
      </c>
      <c r="CM16" s="70">
        <v>9.5908513119358219E-3</v>
      </c>
      <c r="CN16" s="70">
        <v>0.76988853909678578</v>
      </c>
      <c r="CO16" s="70">
        <v>0.85806187719530413</v>
      </c>
      <c r="CP16" s="70">
        <v>0.45058767222054819</v>
      </c>
      <c r="CQ16" s="70">
        <v>-0.48917993827275463</v>
      </c>
      <c r="CR16" s="70">
        <v>3.0000788125916777E-2</v>
      </c>
      <c r="CS16" s="70">
        <v>0.29398080889209144</v>
      </c>
      <c r="CT16" s="70">
        <v>0.29398080889211364</v>
      </c>
    </row>
    <row r="17" spans="1:98" ht="15.5" x14ac:dyDescent="0.35">
      <c r="A17" s="88"/>
      <c r="B17" s="42">
        <v>110</v>
      </c>
      <c r="C17" s="31" t="s">
        <v>81</v>
      </c>
      <c r="D17" s="40" t="s">
        <v>74</v>
      </c>
      <c r="E17" s="102">
        <f>VLOOKUP(C17,[1]CLASSI_EAI!A:G,7,FALSE)</f>
        <v>19.781824999422501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-1.1432953250602673</v>
      </c>
      <c r="R17" s="75">
        <v>-1.1432953250602673</v>
      </c>
      <c r="S17" s="75">
        <v>-1.1432953250602673</v>
      </c>
      <c r="T17" s="75">
        <v>-1.1432953250602673</v>
      </c>
      <c r="U17" s="75">
        <v>-1.7002862189201662</v>
      </c>
      <c r="V17" s="75">
        <v>-1.7002862189201662</v>
      </c>
      <c r="W17" s="75">
        <v>-1.7002862189201662</v>
      </c>
      <c r="X17" s="75">
        <v>-3.6163729299000469</v>
      </c>
      <c r="Y17" s="75">
        <v>-3.6163729299000469</v>
      </c>
      <c r="Z17" s="75">
        <v>-3.6163729299000469</v>
      </c>
      <c r="AA17" s="75">
        <v>-2.1965942857141041</v>
      </c>
      <c r="AB17" s="75">
        <v>-2.1965942857141041</v>
      </c>
      <c r="AC17" s="75">
        <v>-1.0654805499710762</v>
      </c>
      <c r="AD17" s="75">
        <v>-6.0659599356163056</v>
      </c>
      <c r="AE17" s="75">
        <v>-6.0659599356163056</v>
      </c>
      <c r="AF17" s="75">
        <v>-0.10417536895496182</v>
      </c>
      <c r="AG17" s="75">
        <v>-0.87579301674927112</v>
      </c>
      <c r="AH17" s="75">
        <v>-0.87579301674927112</v>
      </c>
      <c r="AI17" s="75">
        <v>-0.87579301674927112</v>
      </c>
      <c r="AJ17" s="75">
        <v>3.727955692509477</v>
      </c>
      <c r="AK17" s="75">
        <v>0.80013889593846255</v>
      </c>
      <c r="AL17" s="75">
        <v>0.80013889593846255</v>
      </c>
      <c r="AM17" s="75">
        <v>-4.5601041378649176</v>
      </c>
      <c r="AN17" s="75">
        <v>-4.5601041378649176</v>
      </c>
      <c r="AO17" s="75">
        <v>-4.5601041378649176</v>
      </c>
      <c r="AP17" s="75">
        <v>0.52053789030317432</v>
      </c>
      <c r="AQ17" s="75">
        <v>0.52053789030317432</v>
      </c>
      <c r="AR17" s="75">
        <v>-4.2029896663512867</v>
      </c>
      <c r="AS17" s="75">
        <v>-7.0735193465094053</v>
      </c>
      <c r="AT17" s="75">
        <v>-9.4024947805695813</v>
      </c>
      <c r="AU17" s="75">
        <v>-8.9036042687393504</v>
      </c>
      <c r="AV17" s="75">
        <v>-11.216126389205161</v>
      </c>
      <c r="AW17" s="75">
        <v>-9.0624463685787244</v>
      </c>
      <c r="AX17" s="75">
        <v>-9.3942856745501508</v>
      </c>
      <c r="AY17" s="75">
        <v>-5.6947111121692267</v>
      </c>
      <c r="AZ17" s="75">
        <v>-6.2810469770201438</v>
      </c>
      <c r="BA17" s="75">
        <v>-6.2810469770201438</v>
      </c>
      <c r="BB17" s="75">
        <v>-5.9619800019666158</v>
      </c>
      <c r="BC17" s="75">
        <v>-2.4062033137652539</v>
      </c>
      <c r="BD17" s="75">
        <v>-2.0081726454670101</v>
      </c>
      <c r="BE17" s="75">
        <v>5.337330458703593</v>
      </c>
      <c r="BF17" s="75">
        <v>9.2899555259269953</v>
      </c>
      <c r="BG17" s="75">
        <v>8.6914277640703919</v>
      </c>
      <c r="BH17" s="75">
        <v>8.6126625498152087</v>
      </c>
      <c r="BI17" s="75">
        <v>9.1204054120045406</v>
      </c>
      <c r="BJ17" s="75">
        <v>9.5200539316241173</v>
      </c>
      <c r="BK17" s="75">
        <v>11.148527311515789</v>
      </c>
      <c r="BL17" s="75">
        <v>12.291128045818379</v>
      </c>
      <c r="BM17" s="75">
        <v>11.946416693034024</v>
      </c>
      <c r="BN17" s="75">
        <v>11.910129056774599</v>
      </c>
      <c r="BO17" s="75">
        <v>9.9034242116901705</v>
      </c>
      <c r="BP17" s="75">
        <v>9.5345116489219386</v>
      </c>
      <c r="BQ17" s="75">
        <v>6.7607124301511723</v>
      </c>
      <c r="BR17" s="75">
        <v>3.7234652843848526</v>
      </c>
      <c r="BS17" s="75">
        <v>3.7234652843848526</v>
      </c>
      <c r="BT17" s="75">
        <v>3.7986848837816556</v>
      </c>
      <c r="BU17" s="75">
        <v>4.1183073079779975</v>
      </c>
      <c r="BV17" s="75">
        <v>2.4482918944023213</v>
      </c>
      <c r="BW17" s="75">
        <v>0.56447175886178425</v>
      </c>
      <c r="BX17" s="75">
        <v>-1.6410405604072587E-3</v>
      </c>
      <c r="BY17" s="75">
        <v>0.30627921817949488</v>
      </c>
      <c r="BZ17" s="75">
        <v>-0.58648935697308557</v>
      </c>
      <c r="CA17" s="75">
        <v>-2.459529523365922</v>
      </c>
      <c r="CB17" s="75">
        <v>-3.8263798247779257</v>
      </c>
      <c r="CC17" s="75">
        <v>-4.0959432471347252</v>
      </c>
      <c r="CD17" s="75">
        <v>-2.4119289798268939</v>
      </c>
      <c r="CE17" s="75">
        <v>-1.8378196996199803</v>
      </c>
      <c r="CF17" s="75">
        <v>-1.8378196996199803</v>
      </c>
      <c r="CG17" s="75">
        <v>-2.1391580025872159</v>
      </c>
      <c r="CH17" s="75">
        <v>-0.5439228698274956</v>
      </c>
      <c r="CI17" s="75">
        <v>-0.165325426664098</v>
      </c>
      <c r="CJ17" s="75">
        <v>0</v>
      </c>
      <c r="CK17" s="75">
        <v>0</v>
      </c>
      <c r="CL17" s="75">
        <v>0.58829862523692711</v>
      </c>
      <c r="CM17" s="75">
        <v>0</v>
      </c>
      <c r="CN17" s="75">
        <v>0</v>
      </c>
      <c r="CO17" s="75">
        <v>0.38066798338312058</v>
      </c>
      <c r="CP17" s="75">
        <v>-1.3785076045376154</v>
      </c>
      <c r="CQ17" s="75">
        <v>-3.5402585605474601</v>
      </c>
      <c r="CR17" s="75">
        <v>-1.820606105825795</v>
      </c>
      <c r="CS17" s="75">
        <v>-0.6824796012602441</v>
      </c>
      <c r="CT17" s="75">
        <v>-0.6824796012602441</v>
      </c>
    </row>
    <row r="18" spans="1:98" ht="15.5" x14ac:dyDescent="0.35">
      <c r="A18" s="88"/>
      <c r="B18" s="42"/>
      <c r="C18" s="31" t="s">
        <v>82</v>
      </c>
      <c r="D18" s="40" t="s">
        <v>83</v>
      </c>
      <c r="E18" s="102">
        <f>VLOOKUP(C18,[1]CLASSI_EAI!A:G,7,FALSE)</f>
        <v>0.50833952855763298</v>
      </c>
      <c r="F18" s="76">
        <v>3.2965561136860666</v>
      </c>
      <c r="G18" s="76">
        <v>1.9777727154570046</v>
      </c>
      <c r="H18" s="76">
        <v>1.9656638821075267</v>
      </c>
      <c r="I18" s="76">
        <v>1.0057467513322926</v>
      </c>
      <c r="J18" s="76">
        <v>2.5749878194899711</v>
      </c>
      <c r="K18" s="76">
        <v>2.8806696341080018</v>
      </c>
      <c r="L18" s="76">
        <v>2.70578051785757</v>
      </c>
      <c r="M18" s="76">
        <v>1.2225536498048584</v>
      </c>
      <c r="N18" s="76">
        <v>0.33704377171193123</v>
      </c>
      <c r="O18" s="76">
        <v>-1.5268387118887339</v>
      </c>
      <c r="P18" s="76">
        <v>-1.639274907347632</v>
      </c>
      <c r="Q18" s="76">
        <v>-1.095600159533594</v>
      </c>
      <c r="R18" s="76">
        <v>-1.369811901768625</v>
      </c>
      <c r="S18" s="76">
        <v>-0.99464763485110907</v>
      </c>
      <c r="T18" s="76">
        <v>-1.5785325275107454</v>
      </c>
      <c r="U18" s="76">
        <v>-1.467997133021004</v>
      </c>
      <c r="V18" s="76">
        <v>-2.6991037368500836</v>
      </c>
      <c r="W18" s="76">
        <v>-3.964193205496136</v>
      </c>
      <c r="X18" s="76">
        <v>-3.7646427884534206</v>
      </c>
      <c r="Y18" s="76">
        <v>-3.2306573729402488</v>
      </c>
      <c r="Z18" s="76">
        <v>-2.4870953685891983</v>
      </c>
      <c r="AA18" s="76">
        <v>-0.94956841580291496</v>
      </c>
      <c r="AB18" s="76">
        <v>-0.36789960429368662</v>
      </c>
      <c r="AC18" s="76">
        <v>-0.15644674255690383</v>
      </c>
      <c r="AD18" s="76">
        <v>0.4438301530404809</v>
      </c>
      <c r="AE18" s="76">
        <v>0.19260619480481189</v>
      </c>
      <c r="AF18" s="76">
        <v>-0.24847830102490143</v>
      </c>
      <c r="AG18" s="76">
        <v>0.76197715677539524</v>
      </c>
      <c r="AH18" s="76">
        <v>1.4151912032395186</v>
      </c>
      <c r="AI18" s="76">
        <v>2.6088144636684296</v>
      </c>
      <c r="AJ18" s="76">
        <v>2.6046761223099013</v>
      </c>
      <c r="AK18" s="76">
        <v>2.4058490194451609</v>
      </c>
      <c r="AL18" s="76">
        <v>2.7959797795233499</v>
      </c>
      <c r="AM18" s="76">
        <v>3.0817928613366075</v>
      </c>
      <c r="AN18" s="76">
        <v>2.7215322905719264</v>
      </c>
      <c r="AO18" s="76">
        <v>1.994217768374007</v>
      </c>
      <c r="AP18" s="76">
        <v>2.2526670910481439</v>
      </c>
      <c r="AQ18" s="76">
        <v>1.3662406680067685</v>
      </c>
      <c r="AR18" s="76">
        <v>1.9311685390165589</v>
      </c>
      <c r="AS18" s="76">
        <v>1.2338981369956592</v>
      </c>
      <c r="AT18" s="76">
        <v>2.086167553949525</v>
      </c>
      <c r="AU18" s="76">
        <v>3.7831073781658509</v>
      </c>
      <c r="AV18" s="76">
        <v>2.8371373051890192</v>
      </c>
      <c r="AW18" s="76">
        <v>3.2128379304115828</v>
      </c>
      <c r="AX18" s="76">
        <v>2.4907308836311648</v>
      </c>
      <c r="AY18" s="76">
        <v>2.1510513633078654</v>
      </c>
      <c r="AZ18" s="76">
        <v>1.6216690367279352</v>
      </c>
      <c r="BA18" s="76">
        <v>2.2209916013161912</v>
      </c>
      <c r="BB18" s="76">
        <v>7.2619185275126119</v>
      </c>
      <c r="BC18" s="76">
        <v>8.3471779935732737</v>
      </c>
      <c r="BD18" s="76">
        <v>8.3907551240117719</v>
      </c>
      <c r="BE18" s="76">
        <v>8.209607357689519</v>
      </c>
      <c r="BF18" s="76">
        <v>6.8338791790006015</v>
      </c>
      <c r="BG18" s="76">
        <v>4.8957105248205179</v>
      </c>
      <c r="BH18" s="76">
        <v>5.5973362317920827</v>
      </c>
      <c r="BI18" s="76">
        <v>5.5973362317920827</v>
      </c>
      <c r="BJ18" s="76">
        <v>5.5973362317920827</v>
      </c>
      <c r="BK18" s="76">
        <v>5.5973362317920827</v>
      </c>
      <c r="BL18" s="76">
        <v>5.5973362317920827</v>
      </c>
      <c r="BM18" s="76">
        <v>5.5973362317920827</v>
      </c>
      <c r="BN18" s="76">
        <v>0</v>
      </c>
      <c r="BO18" s="76">
        <v>0</v>
      </c>
      <c r="BP18" s="76">
        <v>0</v>
      </c>
      <c r="BQ18" s="76">
        <v>0</v>
      </c>
      <c r="BR18" s="76">
        <v>0</v>
      </c>
      <c r="BS18" s="76">
        <v>0</v>
      </c>
      <c r="BT18" s="76">
        <v>0</v>
      </c>
      <c r="BU18" s="76">
        <v>0</v>
      </c>
      <c r="BV18" s="76">
        <v>0</v>
      </c>
      <c r="BW18" s="76">
        <v>0</v>
      </c>
      <c r="BX18" s="76">
        <v>0</v>
      </c>
      <c r="BY18" s="76">
        <v>0</v>
      </c>
      <c r="BZ18" s="76">
        <v>0</v>
      </c>
      <c r="CA18" s="76">
        <v>0</v>
      </c>
      <c r="CB18" s="76">
        <v>0</v>
      </c>
      <c r="CC18" s="76">
        <v>0</v>
      </c>
      <c r="CD18" s="76">
        <v>0</v>
      </c>
      <c r="CE18" s="76">
        <v>0</v>
      </c>
      <c r="CF18" s="76">
        <v>0</v>
      </c>
      <c r="CG18" s="76">
        <v>0</v>
      </c>
      <c r="CH18" s="76">
        <v>0</v>
      </c>
      <c r="CI18" s="76">
        <v>0</v>
      </c>
      <c r="CJ18" s="76">
        <v>0</v>
      </c>
      <c r="CK18" s="76">
        <v>0</v>
      </c>
      <c r="CL18" s="76">
        <v>0</v>
      </c>
      <c r="CM18" s="76">
        <v>0</v>
      </c>
      <c r="CN18" s="76">
        <v>0</v>
      </c>
      <c r="CO18" s="76">
        <v>0</v>
      </c>
      <c r="CP18" s="76">
        <v>0</v>
      </c>
      <c r="CQ18" s="76">
        <v>0</v>
      </c>
      <c r="CR18" s="76">
        <v>0</v>
      </c>
      <c r="CS18" s="76">
        <v>0</v>
      </c>
      <c r="CT18" s="76">
        <v>0</v>
      </c>
    </row>
    <row r="19" spans="1:98" ht="15.5" x14ac:dyDescent="0.35">
      <c r="A19" s="88"/>
      <c r="B19" s="42"/>
      <c r="C19" s="31" t="s">
        <v>85</v>
      </c>
      <c r="D19" s="40" t="s">
        <v>77</v>
      </c>
      <c r="E19" s="102">
        <f>VLOOKUP(C19,[1]CLASSI_EAI!A:G,7,FALSE)</f>
        <v>41.148818960555197</v>
      </c>
      <c r="F19" s="75">
        <v>0</v>
      </c>
      <c r="G19" s="75">
        <v>1.9348384656127537</v>
      </c>
      <c r="H19" s="75">
        <v>2.3834004024421374</v>
      </c>
      <c r="I19" s="75">
        <v>2.3834004024421374</v>
      </c>
      <c r="J19" s="75">
        <v>2.3834004024421374</v>
      </c>
      <c r="K19" s="75">
        <v>10.868591905655345</v>
      </c>
      <c r="L19" s="75">
        <v>10.868591905655345</v>
      </c>
      <c r="M19" s="75">
        <v>10.868591905655345</v>
      </c>
      <c r="N19" s="75">
        <v>10.868591905655345</v>
      </c>
      <c r="O19" s="75">
        <v>10.868591905655345</v>
      </c>
      <c r="P19" s="75">
        <v>10.868591905655345</v>
      </c>
      <c r="Q19" s="75">
        <v>10.868591905655345</v>
      </c>
      <c r="R19" s="75">
        <v>10.868591905655345</v>
      </c>
      <c r="S19" s="75">
        <v>8.7641807006505914</v>
      </c>
      <c r="T19" s="75">
        <v>8.2876633027035176</v>
      </c>
      <c r="U19" s="75">
        <v>8.2876633027035176</v>
      </c>
      <c r="V19" s="75">
        <v>8.2876633027035176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1.299136822423641</v>
      </c>
      <c r="AT19" s="75">
        <v>1.299136822423641</v>
      </c>
      <c r="AU19" s="75">
        <v>1.299136822423641</v>
      </c>
      <c r="AV19" s="75">
        <v>0.77574931791286605</v>
      </c>
      <c r="AW19" s="75">
        <v>0.77574931791286605</v>
      </c>
      <c r="AX19" s="75">
        <v>0.77574931791286605</v>
      </c>
      <c r="AY19" s="75">
        <v>1.0443433266173363</v>
      </c>
      <c r="AZ19" s="75">
        <v>4.6419415273734055</v>
      </c>
      <c r="BA19" s="75">
        <v>4.6419415273734055</v>
      </c>
      <c r="BB19" s="75">
        <v>4.6419415273734055</v>
      </c>
      <c r="BC19" s="75">
        <v>4.6419415273734055</v>
      </c>
      <c r="BD19" s="75">
        <v>4.6419415273734055</v>
      </c>
      <c r="BE19" s="75">
        <v>3.2999340466342453</v>
      </c>
      <c r="BF19" s="75">
        <v>3.2999340466342453</v>
      </c>
      <c r="BG19" s="75">
        <v>5.0175888872716401</v>
      </c>
      <c r="BH19" s="75">
        <v>5.5630067496985847</v>
      </c>
      <c r="BI19" s="75">
        <v>6.4781776330921081</v>
      </c>
      <c r="BJ19" s="75">
        <v>6.4781776330921081</v>
      </c>
      <c r="BK19" s="75">
        <v>6.1951395170684043</v>
      </c>
      <c r="BL19" s="75">
        <v>2.5441422469565378</v>
      </c>
      <c r="BM19" s="75">
        <v>2.5441422469565378</v>
      </c>
      <c r="BN19" s="75">
        <v>2.5441422469565378</v>
      </c>
      <c r="BO19" s="75">
        <v>3.9495810085800942</v>
      </c>
      <c r="BP19" s="75">
        <v>3.9495810085800942</v>
      </c>
      <c r="BQ19" s="75">
        <v>3.9495810085800942</v>
      </c>
      <c r="BR19" s="75">
        <v>3.9495810085800942</v>
      </c>
      <c r="BS19" s="75">
        <v>2.2493943741937805</v>
      </c>
      <c r="BT19" s="75">
        <v>2.2493943741937583</v>
      </c>
      <c r="BU19" s="75">
        <v>2.9319055388059345</v>
      </c>
      <c r="BV19" s="75">
        <v>2.9319055388059345</v>
      </c>
      <c r="BW19" s="75">
        <v>4.069549511182835</v>
      </c>
      <c r="BX19" s="75">
        <v>2.978196705824665</v>
      </c>
      <c r="BY19" s="75">
        <v>2.978196705824665</v>
      </c>
      <c r="BZ19" s="75">
        <v>2.978196705824665</v>
      </c>
      <c r="CA19" s="75">
        <v>2.9160998392812276</v>
      </c>
      <c r="CB19" s="75">
        <v>1.6392735073232911</v>
      </c>
      <c r="CC19" s="75">
        <v>1.6392735073232911</v>
      </c>
      <c r="CD19" s="75">
        <v>1.6392735073232911</v>
      </c>
      <c r="CE19" s="75">
        <v>2.4528139705214169</v>
      </c>
      <c r="CF19" s="75">
        <v>2.2488208904821283</v>
      </c>
      <c r="CG19" s="75">
        <v>0.69784633348803915</v>
      </c>
      <c r="CH19" s="75">
        <v>0.69784633348803915</v>
      </c>
      <c r="CI19" s="75">
        <v>0.34031960222602464</v>
      </c>
      <c r="CJ19" s="75">
        <v>1.4037164453582829</v>
      </c>
      <c r="CK19" s="75">
        <v>1.4037164453582829</v>
      </c>
      <c r="CL19" s="75">
        <v>1.4037164453582829</v>
      </c>
      <c r="CM19" s="75">
        <v>9.3055860932578227E-2</v>
      </c>
      <c r="CN19" s="75">
        <v>1.3504580929562637</v>
      </c>
      <c r="CO19" s="75">
        <v>1.3504580929562637</v>
      </c>
      <c r="CP19" s="75">
        <v>1.3504580929562637</v>
      </c>
      <c r="CQ19" s="75">
        <v>0.54567103609699519</v>
      </c>
      <c r="CR19" s="75">
        <v>0.74626622086926275</v>
      </c>
      <c r="CS19" s="75">
        <v>0.74626622086926275</v>
      </c>
      <c r="CT19" s="75">
        <v>0.74626622086926275</v>
      </c>
    </row>
    <row r="20" spans="1:98" ht="15.5" x14ac:dyDescent="0.35">
      <c r="A20" s="88"/>
      <c r="B20" s="42"/>
      <c r="C20" s="31" t="s">
        <v>87</v>
      </c>
      <c r="D20" s="40" t="s">
        <v>88</v>
      </c>
      <c r="E20" s="102">
        <f>VLOOKUP(C20,[1]CLASSI_EAI!A:G,7,FALSE)</f>
        <v>12.7922359592896</v>
      </c>
      <c r="F20" s="75">
        <v>1.2873925149845311</v>
      </c>
      <c r="G20" s="75">
        <v>1.2873925149845311</v>
      </c>
      <c r="H20" s="75">
        <v>-7.0622525979124884E-2</v>
      </c>
      <c r="I20" s="75">
        <v>0.57870528998706927</v>
      </c>
      <c r="J20" s="75">
        <v>0.57870528998706927</v>
      </c>
      <c r="K20" s="75">
        <v>0.57870528998706927</v>
      </c>
      <c r="L20" s="75">
        <v>0.57870528998706927</v>
      </c>
      <c r="M20" s="75">
        <v>0.57870528998706927</v>
      </c>
      <c r="N20" s="75">
        <v>0.64978671175550673</v>
      </c>
      <c r="O20" s="75">
        <v>-0.45506897865980056</v>
      </c>
      <c r="P20" s="75">
        <v>-0.45506897865980056</v>
      </c>
      <c r="Q20" s="75">
        <v>-0.45506897865980056</v>
      </c>
      <c r="R20" s="75">
        <v>-0.45506897865980056</v>
      </c>
      <c r="S20" s="75">
        <v>-0.45506897865980056</v>
      </c>
      <c r="T20" s="75">
        <v>-1.1914715957106359</v>
      </c>
      <c r="U20" s="75">
        <v>-1.8293712958768693</v>
      </c>
      <c r="V20" s="75">
        <v>-2.2779203618246258</v>
      </c>
      <c r="W20" s="75">
        <v>-1.6702491567812117</v>
      </c>
      <c r="X20" s="75">
        <v>-2.017098653922933</v>
      </c>
      <c r="Y20" s="75">
        <v>-2.017098653922933</v>
      </c>
      <c r="Z20" s="75">
        <v>-0.41422085402780251</v>
      </c>
      <c r="AA20" s="75">
        <v>0.69108821239047824</v>
      </c>
      <c r="AB20" s="75">
        <v>0.69108821239047824</v>
      </c>
      <c r="AC20" s="75">
        <v>0.23989690596901703</v>
      </c>
      <c r="AD20" s="75">
        <v>0.23989690596901703</v>
      </c>
      <c r="AE20" s="75">
        <v>0.23989690596901703</v>
      </c>
      <c r="AF20" s="75">
        <v>0.2733826459784483</v>
      </c>
      <c r="AG20" s="75">
        <v>0.2733826459784483</v>
      </c>
      <c r="AH20" s="75">
        <v>0.73364231597123908</v>
      </c>
      <c r="AI20" s="75">
        <v>0.11111522432674104</v>
      </c>
      <c r="AJ20" s="75">
        <v>0.46549838196778826</v>
      </c>
      <c r="AK20" s="75">
        <v>0.46549838196778826</v>
      </c>
      <c r="AL20" s="75">
        <v>-1.151538893764259</v>
      </c>
      <c r="AM20" s="75">
        <v>-1.151538893764259</v>
      </c>
      <c r="AN20" s="75">
        <v>-1.151538893764259</v>
      </c>
      <c r="AO20" s="75">
        <v>-0.70661059993220032</v>
      </c>
      <c r="AP20" s="75">
        <v>-0.70661059993220032</v>
      </c>
      <c r="AQ20" s="75">
        <v>-0.70661059993220032</v>
      </c>
      <c r="AR20" s="75">
        <v>0</v>
      </c>
      <c r="AS20" s="75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1.0690582294977435</v>
      </c>
      <c r="BA20" s="75">
        <v>1.0690582294977435</v>
      </c>
      <c r="BB20" s="75">
        <v>1.0690582294977435</v>
      </c>
      <c r="BC20" s="75">
        <v>0.89160181338767686</v>
      </c>
      <c r="BD20" s="75">
        <v>0.89160181338767686</v>
      </c>
      <c r="BE20" s="75">
        <v>0.89160181338767686</v>
      </c>
      <c r="BF20" s="75">
        <v>0.89160181338767686</v>
      </c>
      <c r="BG20" s="75">
        <v>0.89160181338767686</v>
      </c>
      <c r="BH20" s="75">
        <v>0.89160181338767686</v>
      </c>
      <c r="BI20" s="75">
        <v>0.89160181338767686</v>
      </c>
      <c r="BJ20" s="75">
        <v>0.89160181338767686</v>
      </c>
      <c r="BK20" s="75">
        <v>0.46746231678700401</v>
      </c>
      <c r="BL20" s="75">
        <v>-0.59523253036027901</v>
      </c>
      <c r="BM20" s="75">
        <v>-0.19135672885093324</v>
      </c>
      <c r="BN20" s="75">
        <v>-0.19135672885093324</v>
      </c>
      <c r="BO20" s="75">
        <v>-1.5805108960242897E-2</v>
      </c>
      <c r="BP20" s="75">
        <v>-1.5805108960242897E-2</v>
      </c>
      <c r="BQ20" s="75">
        <v>-1.5805108960242897E-2</v>
      </c>
      <c r="BR20" s="75">
        <v>-1.5805108960242897E-2</v>
      </c>
      <c r="BS20" s="75">
        <v>-1.5805108960242897E-2</v>
      </c>
      <c r="BT20" s="75">
        <v>-1.5805108960242897E-2</v>
      </c>
      <c r="BU20" s="75">
        <v>-1.5805108960242897E-2</v>
      </c>
      <c r="BV20" s="75">
        <v>-1.5805108960242897E-2</v>
      </c>
      <c r="BW20" s="75">
        <v>0.40629419673730016</v>
      </c>
      <c r="BX20" s="75">
        <v>0.40629419673730016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-0.30285159672732709</v>
      </c>
      <c r="CF20" s="75">
        <v>-0.30285159672732709</v>
      </c>
      <c r="CG20" s="75">
        <v>-0.30285159672732709</v>
      </c>
      <c r="CH20" s="75">
        <v>-0.30285159672732709</v>
      </c>
      <c r="CI20" s="75">
        <v>-0.30285159672732709</v>
      </c>
      <c r="CJ20" s="75">
        <v>-0.30285159672732709</v>
      </c>
      <c r="CK20" s="75">
        <v>-0.30285159672732709</v>
      </c>
      <c r="CL20" s="75">
        <v>-0.30285159672732709</v>
      </c>
      <c r="CM20" s="75">
        <v>-0.30285159672732709</v>
      </c>
      <c r="CN20" s="75">
        <v>-0.30285159672732709</v>
      </c>
      <c r="CO20" s="75">
        <v>-0.30285159672732709</v>
      </c>
      <c r="CP20" s="75">
        <v>-0.30285159672732709</v>
      </c>
      <c r="CQ20" s="75">
        <v>0</v>
      </c>
      <c r="CR20" s="75">
        <v>0</v>
      </c>
      <c r="CS20" s="75">
        <v>0</v>
      </c>
      <c r="CT20" s="75">
        <v>0</v>
      </c>
    </row>
    <row r="21" spans="1:98" ht="15.5" x14ac:dyDescent="0.35">
      <c r="A21" s="83">
        <v>12</v>
      </c>
      <c r="B21" s="44"/>
      <c r="C21" s="44"/>
      <c r="D21" s="45" t="s">
        <v>14</v>
      </c>
      <c r="E21" s="103">
        <f>E22</f>
        <v>9.4042110357968607</v>
      </c>
      <c r="F21" s="90">
        <v>1.4496474891052102</v>
      </c>
      <c r="G21" s="90">
        <v>1.1288387203580941</v>
      </c>
      <c r="H21" s="90">
        <v>1.8258725853439239</v>
      </c>
      <c r="I21" s="90">
        <v>1.2672805554313493</v>
      </c>
      <c r="J21" s="90">
        <v>0.91607133771622884</v>
      </c>
      <c r="K21" s="90">
        <v>0.8290654011798404</v>
      </c>
      <c r="L21" s="90">
        <v>0.5680422073949476</v>
      </c>
      <c r="M21" s="90">
        <v>0.32274570506618527</v>
      </c>
      <c r="N21" s="90">
        <v>0.41783268780017924</v>
      </c>
      <c r="O21" s="90">
        <v>0.35697116221700131</v>
      </c>
      <c r="P21" s="90">
        <v>0.34573999384210907</v>
      </c>
      <c r="Q21" s="90">
        <v>-0.97720714573784617</v>
      </c>
      <c r="R21" s="90">
        <v>-0.5701376586545015</v>
      </c>
      <c r="S21" s="90">
        <v>-0.3209856385787857</v>
      </c>
      <c r="T21" s="90">
        <v>-1.1101794636047102</v>
      </c>
      <c r="U21" s="90">
        <v>0.19539405061113069</v>
      </c>
      <c r="V21" s="90">
        <v>0.54664625496665398</v>
      </c>
      <c r="W21" s="90">
        <v>0.58671461010555426</v>
      </c>
      <c r="X21" s="90">
        <v>0.73185397393613627</v>
      </c>
      <c r="Y21" s="90">
        <v>0.9650783873733193</v>
      </c>
      <c r="Z21" s="90">
        <v>1.5309038987588064</v>
      </c>
      <c r="AA21" s="90">
        <v>1.3660597934113117</v>
      </c>
      <c r="AB21" s="90">
        <v>1.1591384852648323</v>
      </c>
      <c r="AC21" s="90">
        <v>1.0096255518939889</v>
      </c>
      <c r="AD21" s="90">
        <v>0.99301173426105116</v>
      </c>
      <c r="AE21" s="90">
        <v>0.78106248335729767</v>
      </c>
      <c r="AF21" s="90">
        <v>1.1078907009553829</v>
      </c>
      <c r="AG21" s="90">
        <v>0.21337233108267295</v>
      </c>
      <c r="AH21" s="90">
        <v>0.11917033128920895</v>
      </c>
      <c r="AI21" s="90">
        <v>-9.0169594080213855E-2</v>
      </c>
      <c r="AJ21" s="90">
        <v>9.7446770351128364E-2</v>
      </c>
      <c r="AK21" s="90">
        <v>-8.6477703285225971E-2</v>
      </c>
      <c r="AL21" s="90">
        <v>-0.98178390122548587</v>
      </c>
      <c r="AM21" s="90">
        <v>-1.4512761938900942</v>
      </c>
      <c r="AN21" s="90">
        <v>-2.1439802576970535</v>
      </c>
      <c r="AO21" s="90">
        <v>-1.7940345801122137</v>
      </c>
      <c r="AP21" s="90">
        <v>-1.3801024342526169</v>
      </c>
      <c r="AQ21" s="90">
        <v>-1.2899862286835373</v>
      </c>
      <c r="AR21" s="90">
        <v>-1.5061248129377702</v>
      </c>
      <c r="AS21" s="90">
        <v>-1.2703497778944972</v>
      </c>
      <c r="AT21" s="90">
        <v>-1.4506411403714226</v>
      </c>
      <c r="AU21" s="90">
        <v>-1.0246165231859505</v>
      </c>
      <c r="AV21" s="90">
        <v>-1.4915236167465928</v>
      </c>
      <c r="AW21" s="90">
        <v>-1.4086768902299984</v>
      </c>
      <c r="AX21" s="90">
        <v>-0.66903865947477437</v>
      </c>
      <c r="AY21" s="90">
        <v>-0.75870027449637112</v>
      </c>
      <c r="AZ21" s="90">
        <v>0.74762248541146992</v>
      </c>
      <c r="BA21" s="90">
        <v>1.9124216737636424</v>
      </c>
      <c r="BB21" s="90">
        <v>2.1967498725370183</v>
      </c>
      <c r="BC21" s="90">
        <v>2.7098920618773725</v>
      </c>
      <c r="BD21" s="90">
        <v>2.708260257625672</v>
      </c>
      <c r="BE21" s="90">
        <v>2.2072456620430225</v>
      </c>
      <c r="BF21" s="90">
        <v>1.9216700316240676</v>
      </c>
      <c r="BG21" s="90">
        <v>1.2580700254263055</v>
      </c>
      <c r="BH21" s="90">
        <v>1.5328651989103381</v>
      </c>
      <c r="BI21" s="90">
        <v>1.5981539090867969</v>
      </c>
      <c r="BJ21" s="90">
        <v>1.4160603515976478</v>
      </c>
      <c r="BK21" s="90">
        <v>1.8876762275836123</v>
      </c>
      <c r="BL21" s="90">
        <v>0.87753815840452276</v>
      </c>
      <c r="BM21" s="90">
        <v>-0.35342919298099185</v>
      </c>
      <c r="BN21" s="90">
        <v>-1.1594569543949329</v>
      </c>
      <c r="BO21" s="90">
        <v>-1.2624765208152033</v>
      </c>
      <c r="BP21" s="90">
        <v>-0.76663716419105299</v>
      </c>
      <c r="BQ21" s="90">
        <v>-0.58454539979396758</v>
      </c>
      <c r="BR21" s="90">
        <v>0.19289447922168357</v>
      </c>
      <c r="BS21" s="90">
        <v>0.8045189727630575</v>
      </c>
      <c r="BT21" s="90">
        <v>0.99560346746376815</v>
      </c>
      <c r="BU21" s="90">
        <v>1.6710209553522315</v>
      </c>
      <c r="BV21" s="90">
        <v>1.3288094292470021</v>
      </c>
      <c r="BW21" s="90">
        <v>0.67940806622643901</v>
      </c>
      <c r="BX21" s="90">
        <v>0.54973055819900196</v>
      </c>
      <c r="BY21" s="90">
        <v>0.35297995773457824</v>
      </c>
      <c r="BZ21" s="90">
        <v>0.4046472533024259</v>
      </c>
      <c r="CA21" s="90">
        <v>0.31098211444304802</v>
      </c>
      <c r="CB21" s="90">
        <v>-0.23872504385816784</v>
      </c>
      <c r="CC21" s="90">
        <v>-0.78456110425544345</v>
      </c>
      <c r="CD21" s="90">
        <v>-0.91960328995702723</v>
      </c>
      <c r="CE21" s="90">
        <v>-1.0385746423096975</v>
      </c>
      <c r="CF21" s="90">
        <v>-1.0273703601939688</v>
      </c>
      <c r="CG21" s="90">
        <v>-1.7148014033811609</v>
      </c>
      <c r="CH21" s="90">
        <v>-1.9894182631064461</v>
      </c>
      <c r="CI21" s="90">
        <v>-12.11553365678305</v>
      </c>
      <c r="CJ21" s="90">
        <v>-12.004445862785584</v>
      </c>
      <c r="CK21" s="90">
        <v>-12.044733177077971</v>
      </c>
      <c r="CL21" s="90">
        <v>-11.876486113223262</v>
      </c>
      <c r="CM21" s="90">
        <v>-12.239616679869403</v>
      </c>
      <c r="CN21" s="90">
        <v>-12.698612768871421</v>
      </c>
      <c r="CO21" s="90">
        <v>-12.796588558049471</v>
      </c>
      <c r="CP21" s="90">
        <v>-11.772445626372352</v>
      </c>
      <c r="CQ21" s="90">
        <v>-9.8475175268962758</v>
      </c>
      <c r="CR21" s="90">
        <v>-10.182457886769336</v>
      </c>
      <c r="CS21" s="90">
        <v>-13.251205100195962</v>
      </c>
      <c r="CT21" s="90">
        <v>-11.614965792123133</v>
      </c>
    </row>
    <row r="22" spans="1:98" ht="15.5" x14ac:dyDescent="0.35">
      <c r="A22" s="88"/>
      <c r="B22" s="42">
        <v>120</v>
      </c>
      <c r="C22" s="31" t="s">
        <v>89</v>
      </c>
      <c r="D22" s="40" t="s">
        <v>90</v>
      </c>
      <c r="E22" s="102">
        <f>VLOOKUP(C22,[1]CLASSI_EAI!A:G,7,FALSE)</f>
        <v>9.4042110357968607</v>
      </c>
      <c r="F22" s="75">
        <v>1.4496474891052102</v>
      </c>
      <c r="G22" s="75">
        <v>1.1288387203580941</v>
      </c>
      <c r="H22" s="75">
        <v>1.8258725853439239</v>
      </c>
      <c r="I22" s="75">
        <v>1.2672805554313493</v>
      </c>
      <c r="J22" s="75">
        <v>0.91607133771622884</v>
      </c>
      <c r="K22" s="75">
        <v>0.8290654011798404</v>
      </c>
      <c r="L22" s="75">
        <v>0.5680422073949476</v>
      </c>
      <c r="M22" s="75">
        <v>0.32274570506618527</v>
      </c>
      <c r="N22" s="75">
        <v>0.41783268780017924</v>
      </c>
      <c r="O22" s="75">
        <v>0.35697116221700131</v>
      </c>
      <c r="P22" s="75">
        <v>0.34573999384210907</v>
      </c>
      <c r="Q22" s="75">
        <v>-0.97720714573784617</v>
      </c>
      <c r="R22" s="75">
        <v>-0.5701376586545015</v>
      </c>
      <c r="S22" s="75">
        <v>-0.3209856385787857</v>
      </c>
      <c r="T22" s="75">
        <v>-1.1101794636047102</v>
      </c>
      <c r="U22" s="75">
        <v>0.19539405061113069</v>
      </c>
      <c r="V22" s="75">
        <v>0.54664625496665398</v>
      </c>
      <c r="W22" s="75">
        <v>0.58671461010555426</v>
      </c>
      <c r="X22" s="75">
        <v>0.73185397393613627</v>
      </c>
      <c r="Y22" s="75">
        <v>0.9650783873733193</v>
      </c>
      <c r="Z22" s="75">
        <v>1.5309038987588064</v>
      </c>
      <c r="AA22" s="75">
        <v>1.3660597934113117</v>
      </c>
      <c r="AB22" s="75">
        <v>1.1591384852648323</v>
      </c>
      <c r="AC22" s="75">
        <v>1.0096255518939889</v>
      </c>
      <c r="AD22" s="75">
        <v>0.99301173426105116</v>
      </c>
      <c r="AE22" s="75">
        <v>0.78106248335729767</v>
      </c>
      <c r="AF22" s="75">
        <v>1.1078907009553829</v>
      </c>
      <c r="AG22" s="75">
        <v>0.21337233108267295</v>
      </c>
      <c r="AH22" s="75">
        <v>0.11917033128920895</v>
      </c>
      <c r="AI22" s="75">
        <v>-9.0169594080213855E-2</v>
      </c>
      <c r="AJ22" s="75">
        <v>9.7446770351128364E-2</v>
      </c>
      <c r="AK22" s="75">
        <v>-8.6477703285225971E-2</v>
      </c>
      <c r="AL22" s="75">
        <v>-0.98178390122548587</v>
      </c>
      <c r="AM22" s="75">
        <v>-1.4512761938900942</v>
      </c>
      <c r="AN22" s="75">
        <v>-2.1439802576970535</v>
      </c>
      <c r="AO22" s="75">
        <v>-1.7940345801122137</v>
      </c>
      <c r="AP22" s="75">
        <v>-1.3801024342526169</v>
      </c>
      <c r="AQ22" s="75">
        <v>-1.2899862286835373</v>
      </c>
      <c r="AR22" s="75">
        <v>-1.5061248129377702</v>
      </c>
      <c r="AS22" s="75">
        <v>-1.2703497778944972</v>
      </c>
      <c r="AT22" s="75">
        <v>-1.4506411403714226</v>
      </c>
      <c r="AU22" s="75">
        <v>-1.0246165231859505</v>
      </c>
      <c r="AV22" s="75">
        <v>-1.4915236167465928</v>
      </c>
      <c r="AW22" s="75">
        <v>-1.4086768902299984</v>
      </c>
      <c r="AX22" s="75">
        <v>-0.66903865947477437</v>
      </c>
      <c r="AY22" s="75">
        <v>-0.75870027449637112</v>
      </c>
      <c r="AZ22" s="75">
        <v>0.74762248541146992</v>
      </c>
      <c r="BA22" s="75">
        <v>1.9124216737636424</v>
      </c>
      <c r="BB22" s="75">
        <v>2.1967498725370183</v>
      </c>
      <c r="BC22" s="75">
        <v>2.7098920618773725</v>
      </c>
      <c r="BD22" s="75">
        <v>2.708260257625672</v>
      </c>
      <c r="BE22" s="75">
        <v>2.2072456620430225</v>
      </c>
      <c r="BF22" s="75">
        <v>1.9216700316240676</v>
      </c>
      <c r="BG22" s="75">
        <v>1.2580700254263055</v>
      </c>
      <c r="BH22" s="75">
        <v>1.5328651989103381</v>
      </c>
      <c r="BI22" s="75">
        <v>1.5981539090867969</v>
      </c>
      <c r="BJ22" s="75">
        <v>1.4160603515976478</v>
      </c>
      <c r="BK22" s="75">
        <v>1.8876762275836123</v>
      </c>
      <c r="BL22" s="75">
        <v>0.87753815840452276</v>
      </c>
      <c r="BM22" s="75">
        <v>-0.35342919298099185</v>
      </c>
      <c r="BN22" s="75">
        <v>-1.1594569543949329</v>
      </c>
      <c r="BO22" s="75">
        <v>-1.2624765208152033</v>
      </c>
      <c r="BP22" s="75">
        <v>-0.76663716419105299</v>
      </c>
      <c r="BQ22" s="75">
        <v>-0.58454539979396758</v>
      </c>
      <c r="BR22" s="75">
        <v>0.19289447922168357</v>
      </c>
      <c r="BS22" s="75">
        <v>0.8045189727630575</v>
      </c>
      <c r="BT22" s="75">
        <v>0.99560346746376815</v>
      </c>
      <c r="BU22" s="75">
        <v>1.6710209553522315</v>
      </c>
      <c r="BV22" s="75">
        <v>1.3288094292470021</v>
      </c>
      <c r="BW22" s="75">
        <v>0.67940806622643901</v>
      </c>
      <c r="BX22" s="75">
        <v>0.54973055819900196</v>
      </c>
      <c r="BY22" s="75">
        <v>0.35297995773457824</v>
      </c>
      <c r="BZ22" s="75">
        <v>0.4046472533024259</v>
      </c>
      <c r="CA22" s="75">
        <v>0.31098211444304802</v>
      </c>
      <c r="CB22" s="75">
        <v>-0.23872504385816784</v>
      </c>
      <c r="CC22" s="75">
        <v>-0.78456110425544345</v>
      </c>
      <c r="CD22" s="75">
        <v>-0.91960328995702723</v>
      </c>
      <c r="CE22" s="75">
        <v>-1.0385746423096975</v>
      </c>
      <c r="CF22" s="75">
        <v>-1.0273703601939688</v>
      </c>
      <c r="CG22" s="75">
        <v>-1.7148014033811609</v>
      </c>
      <c r="CH22" s="75">
        <v>-1.9894182631064461</v>
      </c>
      <c r="CI22" s="75">
        <v>-12.11553365678305</v>
      </c>
      <c r="CJ22" s="75">
        <v>-12.004445862785584</v>
      </c>
      <c r="CK22" s="75">
        <v>-12.044733177077971</v>
      </c>
      <c r="CL22" s="75">
        <v>-11.876486113223262</v>
      </c>
      <c r="CM22" s="75">
        <v>-12.239616679869403</v>
      </c>
      <c r="CN22" s="75">
        <v>-12.698612768871421</v>
      </c>
      <c r="CO22" s="75">
        <v>-12.796588558049471</v>
      </c>
      <c r="CP22" s="75">
        <v>-11.772445626372352</v>
      </c>
      <c r="CQ22" s="75">
        <v>-9.8475175268962758</v>
      </c>
      <c r="CR22" s="75">
        <v>-10.182457886769336</v>
      </c>
      <c r="CS22" s="75">
        <v>-13.251205100195962</v>
      </c>
      <c r="CT22" s="75">
        <v>-11.614965792123133</v>
      </c>
    </row>
    <row r="23" spans="1:98" ht="15.5" x14ac:dyDescent="0.35">
      <c r="A23" s="83">
        <v>13</v>
      </c>
      <c r="B23" s="44"/>
      <c r="C23" s="44"/>
      <c r="D23" s="45" t="s">
        <v>15</v>
      </c>
      <c r="E23" s="101">
        <f>E25+E24</f>
        <v>21.999441484290998</v>
      </c>
      <c r="F23" s="70">
        <v>4.2844117792853798</v>
      </c>
      <c r="G23" s="70">
        <v>4.4204795788450379</v>
      </c>
      <c r="H23" s="70">
        <v>4.1782795034955189</v>
      </c>
      <c r="I23" s="70">
        <v>4.1782795034955189</v>
      </c>
      <c r="J23" s="70">
        <v>4.1782795034955189</v>
      </c>
      <c r="K23" s="70">
        <v>4.1782795034955189</v>
      </c>
      <c r="L23" s="70">
        <v>4.1782795034955189</v>
      </c>
      <c r="M23" s="70">
        <v>1.9030210514035639</v>
      </c>
      <c r="N23" s="70">
        <v>4.5556029423794886</v>
      </c>
      <c r="O23" s="70">
        <v>4.5556029423794886</v>
      </c>
      <c r="P23" s="70">
        <v>4.5556029423794886</v>
      </c>
      <c r="Q23" s="70">
        <v>4.2462166918292299</v>
      </c>
      <c r="R23" s="70">
        <v>5.2166093180143092</v>
      </c>
      <c r="S23" s="70">
        <v>5.0795041010609721</v>
      </c>
      <c r="T23" s="70">
        <v>5.0795041010609721</v>
      </c>
      <c r="U23" s="70">
        <v>5.0795041010609721</v>
      </c>
      <c r="V23" s="70">
        <v>5.0795041010609721</v>
      </c>
      <c r="W23" s="70">
        <v>5.1248139187272113</v>
      </c>
      <c r="X23" s="70">
        <v>5.9267835757336407</v>
      </c>
      <c r="Y23" s="70">
        <v>5.9267835757336407</v>
      </c>
      <c r="Z23" s="70">
        <v>1.7446941179396935</v>
      </c>
      <c r="AA23" s="70">
        <v>1.7446941179396935</v>
      </c>
      <c r="AB23" s="70">
        <v>1.7446941179396935</v>
      </c>
      <c r="AC23" s="70">
        <v>1.7446941179396935</v>
      </c>
      <c r="AD23" s="70">
        <v>0.80632230035821983</v>
      </c>
      <c r="AE23" s="70">
        <v>0.80632230035821983</v>
      </c>
      <c r="AF23" s="70">
        <v>0.80632230035821983</v>
      </c>
      <c r="AG23" s="70">
        <v>1.5657753027042531</v>
      </c>
      <c r="AH23" s="70">
        <v>1.5657753027042531</v>
      </c>
      <c r="AI23" s="70">
        <v>4.7396914515558386</v>
      </c>
      <c r="AJ23" s="70">
        <v>5.5043958713842267</v>
      </c>
      <c r="AK23" s="70">
        <v>5.7264425361644555</v>
      </c>
      <c r="AL23" s="70">
        <v>5.7870890000360387</v>
      </c>
      <c r="AM23" s="70">
        <v>5.7870890000360387</v>
      </c>
      <c r="AN23" s="70">
        <v>5.9208269907868649</v>
      </c>
      <c r="AO23" s="70">
        <v>5.9208269907868649</v>
      </c>
      <c r="AP23" s="70">
        <v>7.6785361663927354</v>
      </c>
      <c r="AQ23" s="70">
        <v>7.6785361663927354</v>
      </c>
      <c r="AR23" s="70">
        <v>7.7981453754046193</v>
      </c>
      <c r="AS23" s="70">
        <v>6.992090137715623</v>
      </c>
      <c r="AT23" s="70">
        <v>6.992090137715623</v>
      </c>
      <c r="AU23" s="70">
        <v>3.70520255711837</v>
      </c>
      <c r="AV23" s="70">
        <v>2.1740795585584838</v>
      </c>
      <c r="AW23" s="70">
        <v>1.9594935661734203</v>
      </c>
      <c r="AX23" s="70">
        <v>1.9010414166589662</v>
      </c>
      <c r="AY23" s="70">
        <v>1.9010414166589662</v>
      </c>
      <c r="AZ23" s="70">
        <v>1.7723788965328335</v>
      </c>
      <c r="BA23" s="70">
        <v>1.7723788965328335</v>
      </c>
      <c r="BB23" s="70">
        <v>0.11107989880829727</v>
      </c>
      <c r="BC23" s="70">
        <v>0.11107989880829727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5.6747104113163971E-2</v>
      </c>
      <c r="BL23" s="70">
        <v>0.16520737921550399</v>
      </c>
      <c r="BM23" s="70">
        <v>0.26605422072640827</v>
      </c>
      <c r="BN23" s="70">
        <v>0.26605422072640827</v>
      </c>
      <c r="BO23" s="70">
        <v>0.26605422072640827</v>
      </c>
      <c r="BP23" s="70">
        <v>0.26605422072640827</v>
      </c>
      <c r="BQ23" s="70">
        <v>0.26605422072640827</v>
      </c>
      <c r="BR23" s="70">
        <v>0.26605422072640827</v>
      </c>
      <c r="BS23" s="70">
        <v>0.26605422072640827</v>
      </c>
      <c r="BT23" s="70">
        <v>0.52604514637497601</v>
      </c>
      <c r="BU23" s="70">
        <v>0.52604514637497601</v>
      </c>
      <c r="BV23" s="70">
        <v>0.52604514637497601</v>
      </c>
      <c r="BW23" s="70">
        <v>0.46903188025240183</v>
      </c>
      <c r="BX23" s="70">
        <v>1.9488889952824717</v>
      </c>
      <c r="BY23" s="70">
        <v>2.6403738359325191</v>
      </c>
      <c r="BZ23" s="70">
        <v>2.6403738359325191</v>
      </c>
      <c r="CA23" s="70">
        <v>2.6403738359325191</v>
      </c>
      <c r="CB23" s="70">
        <v>2.6403738359325191</v>
      </c>
      <c r="CC23" s="70">
        <v>2.6403738359325191</v>
      </c>
      <c r="CD23" s="70">
        <v>2.6403738359325191</v>
      </c>
      <c r="CE23" s="70">
        <v>2.6403738359325191</v>
      </c>
      <c r="CF23" s="70">
        <v>2.374914613263801</v>
      </c>
      <c r="CG23" s="70">
        <v>2.374914613263801</v>
      </c>
      <c r="CH23" s="70">
        <v>2.374914613263801</v>
      </c>
      <c r="CI23" s="70">
        <v>2.4208371444133459</v>
      </c>
      <c r="CJ23" s="70">
        <v>0.213275386128986</v>
      </c>
      <c r="CK23" s="70">
        <v>-0.56197288438111226</v>
      </c>
      <c r="CL23" s="70">
        <v>-0.56197288438111226</v>
      </c>
      <c r="CM23" s="70">
        <v>-0.61897311390863852</v>
      </c>
      <c r="CN23" s="70">
        <v>-0.62830692974678026</v>
      </c>
      <c r="CO23" s="70">
        <v>-0.62830692974678026</v>
      </c>
      <c r="CP23" s="70">
        <v>-0.61664767054705472</v>
      </c>
      <c r="CQ23" s="70">
        <v>-0.61664767054705472</v>
      </c>
      <c r="CR23" s="70">
        <v>-0.50264221376618012</v>
      </c>
      <c r="CS23" s="70">
        <v>-0.50264221376618012</v>
      </c>
      <c r="CT23" s="70">
        <v>-0.50264221376618012</v>
      </c>
    </row>
    <row r="24" spans="1:98" ht="15.5" x14ac:dyDescent="0.35">
      <c r="A24" s="88"/>
      <c r="B24" s="43">
        <v>131</v>
      </c>
      <c r="C24" s="37">
        <v>1311</v>
      </c>
      <c r="D24" s="40" t="s">
        <v>84</v>
      </c>
      <c r="E24" s="102">
        <f>[1]CLASSI_EAI!G374</f>
        <v>11.5188009235262</v>
      </c>
      <c r="F24" s="76">
        <v>0.96989933425091213</v>
      </c>
      <c r="G24" s="76">
        <v>0.96989933425091213</v>
      </c>
      <c r="H24" s="76">
        <v>0.52761084507120248</v>
      </c>
      <c r="I24" s="76">
        <v>0.52761084507120248</v>
      </c>
      <c r="J24" s="76">
        <v>0.52761084507120248</v>
      </c>
      <c r="K24" s="76">
        <v>0.52761084507120248</v>
      </c>
      <c r="L24" s="76">
        <v>0.52761084507120248</v>
      </c>
      <c r="M24" s="76">
        <v>0.21767721180441235</v>
      </c>
      <c r="N24" s="76">
        <v>3.4032422262041839</v>
      </c>
      <c r="O24" s="76">
        <v>3.4032422262041839</v>
      </c>
      <c r="P24" s="76">
        <v>3.4032422262041839</v>
      </c>
      <c r="Q24" s="76">
        <v>3.4032422262041839</v>
      </c>
      <c r="R24" s="76">
        <v>5.2999400363640037</v>
      </c>
      <c r="S24" s="76">
        <v>5.2999400363640037</v>
      </c>
      <c r="T24" s="76">
        <v>5.2999400363640037</v>
      </c>
      <c r="U24" s="76">
        <v>5.2999400363640037</v>
      </c>
      <c r="V24" s="76">
        <v>5.2999400363640037</v>
      </c>
      <c r="W24" s="76">
        <v>5.388616682097136</v>
      </c>
      <c r="X24" s="76">
        <v>5.9977230422286976</v>
      </c>
      <c r="Y24" s="76">
        <v>5.9977230422286976</v>
      </c>
      <c r="Z24" s="76">
        <v>2.5090903923001173</v>
      </c>
      <c r="AA24" s="76">
        <v>2.5090903923001173</v>
      </c>
      <c r="AB24" s="76">
        <v>2.5090903923001173</v>
      </c>
      <c r="AC24" s="76">
        <v>2.5090903923001173</v>
      </c>
      <c r="AD24" s="76">
        <v>0.66266230125460179</v>
      </c>
      <c r="AE24" s="76">
        <v>0.66266230125460179</v>
      </c>
      <c r="AF24" s="76">
        <v>0.66266230125460179</v>
      </c>
      <c r="AG24" s="76">
        <v>2.024775052666028</v>
      </c>
      <c r="AH24" s="76">
        <v>2.024775052666028</v>
      </c>
      <c r="AI24" s="76">
        <v>7.4346665407219348</v>
      </c>
      <c r="AJ24" s="76">
        <v>8.9951015148846292</v>
      </c>
      <c r="AK24" s="76">
        <v>8.9951015148846292</v>
      </c>
      <c r="AL24" s="76">
        <v>8.9951015148846292</v>
      </c>
      <c r="AM24" s="76">
        <v>8.9951015148846292</v>
      </c>
      <c r="AN24" s="76">
        <v>8.9951015148846292</v>
      </c>
      <c r="AO24" s="76">
        <v>8.9951015148846292</v>
      </c>
      <c r="AP24" s="76">
        <v>8.9951015148846292</v>
      </c>
      <c r="AQ24" s="76">
        <v>8.9951015148846292</v>
      </c>
      <c r="AR24" s="76">
        <v>8.9951015148846292</v>
      </c>
      <c r="AS24" s="76">
        <v>7.5399293026629621</v>
      </c>
      <c r="AT24" s="76">
        <v>7.5399293026629621</v>
      </c>
      <c r="AU24" s="76">
        <v>2.0388069546371401</v>
      </c>
      <c r="AV24" s="76">
        <v>0</v>
      </c>
      <c r="AW24" s="76">
        <v>0</v>
      </c>
      <c r="AX24" s="76">
        <v>0</v>
      </c>
      <c r="AY24" s="76">
        <v>0</v>
      </c>
      <c r="AZ24" s="76">
        <v>0</v>
      </c>
      <c r="BA24" s="76">
        <v>0</v>
      </c>
      <c r="BB24" s="76">
        <v>0</v>
      </c>
      <c r="BC24" s="76">
        <v>0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0</v>
      </c>
      <c r="BJ24" s="76">
        <v>0</v>
      </c>
      <c r="BK24" s="76">
        <v>0</v>
      </c>
      <c r="BL24" s="76">
        <v>0</v>
      </c>
      <c r="BM24" s="76">
        <v>0</v>
      </c>
      <c r="BN24" s="76">
        <v>0</v>
      </c>
      <c r="BO24" s="76">
        <v>0</v>
      </c>
      <c r="BP24" s="76">
        <v>0</v>
      </c>
      <c r="BQ24" s="76">
        <v>0</v>
      </c>
      <c r="BR24" s="76">
        <v>0</v>
      </c>
      <c r="BS24" s="76">
        <v>0</v>
      </c>
      <c r="BT24" s="76">
        <v>0</v>
      </c>
      <c r="BU24" s="76">
        <v>0</v>
      </c>
      <c r="BV24" s="76">
        <v>0</v>
      </c>
      <c r="BW24" s="76">
        <v>0</v>
      </c>
      <c r="BX24" s="76">
        <v>0</v>
      </c>
      <c r="BY24" s="76">
        <v>0</v>
      </c>
      <c r="BZ24" s="76">
        <v>0</v>
      </c>
      <c r="CA24" s="76">
        <v>0</v>
      </c>
      <c r="CB24" s="76">
        <v>0</v>
      </c>
      <c r="CC24" s="76">
        <v>0</v>
      </c>
      <c r="CD24" s="76">
        <v>0</v>
      </c>
      <c r="CE24" s="76">
        <v>0</v>
      </c>
      <c r="CF24" s="76">
        <v>0</v>
      </c>
      <c r="CG24" s="76">
        <v>0</v>
      </c>
      <c r="CH24" s="76">
        <v>0</v>
      </c>
      <c r="CI24" s="76">
        <v>0</v>
      </c>
      <c r="CJ24" s="76">
        <v>0</v>
      </c>
      <c r="CK24" s="76">
        <v>0</v>
      </c>
      <c r="CL24" s="76">
        <v>0</v>
      </c>
      <c r="CM24" s="76">
        <v>0</v>
      </c>
      <c r="CN24" s="76">
        <v>0</v>
      </c>
      <c r="CO24" s="76">
        <v>0</v>
      </c>
      <c r="CP24" s="76">
        <v>0</v>
      </c>
      <c r="CQ24" s="76">
        <v>0</v>
      </c>
      <c r="CR24" s="76">
        <v>0</v>
      </c>
      <c r="CS24" s="76">
        <v>0</v>
      </c>
      <c r="CT24" s="76">
        <v>0</v>
      </c>
    </row>
    <row r="25" spans="1:98" ht="15.5" x14ac:dyDescent="0.35">
      <c r="A25" s="88"/>
      <c r="B25" s="42">
        <v>139</v>
      </c>
      <c r="C25" s="31" t="s">
        <v>93</v>
      </c>
      <c r="D25" s="40" t="s">
        <v>86</v>
      </c>
      <c r="E25" s="102">
        <f>VLOOKUP(C25,[1]CLASSI_EAI!A:G,7,FALSE)</f>
        <v>10.480640560764799</v>
      </c>
      <c r="F25" s="75">
        <v>7.998381608929761</v>
      </c>
      <c r="G25" s="75">
        <v>8.2869157849870376</v>
      </c>
      <c r="H25" s="75">
        <v>8.2869157849870376</v>
      </c>
      <c r="I25" s="75">
        <v>8.2869157849870376</v>
      </c>
      <c r="J25" s="75">
        <v>8.2869157849870376</v>
      </c>
      <c r="K25" s="75">
        <v>8.2869157849870376</v>
      </c>
      <c r="L25" s="75">
        <v>8.2869157849870376</v>
      </c>
      <c r="M25" s="75">
        <v>3.725507936592054</v>
      </c>
      <c r="N25" s="75">
        <v>5.7701692035358798</v>
      </c>
      <c r="O25" s="75">
        <v>5.7701692035358798</v>
      </c>
      <c r="P25" s="75">
        <v>5.7701692035358798</v>
      </c>
      <c r="Q25" s="75">
        <v>5.129312478894521</v>
      </c>
      <c r="R25" s="75">
        <v>5.129312478894521</v>
      </c>
      <c r="S25" s="75">
        <v>4.8491918444145909</v>
      </c>
      <c r="T25" s="75">
        <v>4.8491918444145909</v>
      </c>
      <c r="U25" s="75">
        <v>4.8491918444145909</v>
      </c>
      <c r="V25" s="75">
        <v>4.8491918444145909</v>
      </c>
      <c r="W25" s="75">
        <v>4.8491918444145909</v>
      </c>
      <c r="X25" s="75">
        <v>5.852665766442211</v>
      </c>
      <c r="Y25" s="75">
        <v>5.852665766442211</v>
      </c>
      <c r="Z25" s="75">
        <v>0.95706405016138252</v>
      </c>
      <c r="AA25" s="75">
        <v>0.95706405016138252</v>
      </c>
      <c r="AB25" s="75">
        <v>0.95706405016138252</v>
      </c>
      <c r="AC25" s="75">
        <v>0.95706405016138252</v>
      </c>
      <c r="AD25" s="75">
        <v>0.95706405016138252</v>
      </c>
      <c r="AE25" s="75">
        <v>0.95706405016138252</v>
      </c>
      <c r="AF25" s="75">
        <v>0.95706405016138252</v>
      </c>
      <c r="AG25" s="75">
        <v>1.0841490608821225</v>
      </c>
      <c r="AH25" s="75">
        <v>1.0841490608821225</v>
      </c>
      <c r="AI25" s="75">
        <v>1.909485576251635</v>
      </c>
      <c r="AJ25" s="75">
        <v>1.8522962047681446</v>
      </c>
      <c r="AK25" s="75">
        <v>2.3066559412411758</v>
      </c>
      <c r="AL25" s="75">
        <v>2.4307528799184075</v>
      </c>
      <c r="AM25" s="75">
        <v>2.4307528799184075</v>
      </c>
      <c r="AN25" s="75">
        <v>2.7044122852246222</v>
      </c>
      <c r="AO25" s="75">
        <v>2.7044122852246222</v>
      </c>
      <c r="AP25" s="75">
        <v>6.3010989484312718</v>
      </c>
      <c r="AQ25" s="75">
        <v>6.3010989484312718</v>
      </c>
      <c r="AR25" s="75">
        <v>6.5458475409858163</v>
      </c>
      <c r="AS25" s="75">
        <v>6.4118959738727499</v>
      </c>
      <c r="AT25" s="75">
        <v>6.4118959738727499</v>
      </c>
      <c r="AU25" s="75">
        <v>5.5500956917859057</v>
      </c>
      <c r="AV25" s="75">
        <v>4.6081939348540102</v>
      </c>
      <c r="AW25" s="75">
        <v>4.1436127109651499</v>
      </c>
      <c r="AX25" s="75">
        <v>4.0174406077944314</v>
      </c>
      <c r="AY25" s="75">
        <v>4.0174406077944314</v>
      </c>
      <c r="AZ25" s="75">
        <v>3.7402825937925321</v>
      </c>
      <c r="BA25" s="75">
        <v>3.7402825937925321</v>
      </c>
      <c r="BB25" s="75">
        <v>0.23024088647782825</v>
      </c>
      <c r="BC25" s="75">
        <v>0.23024088647782825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0.11748273519158747</v>
      </c>
      <c r="BL25" s="75">
        <v>0.34202652430279645</v>
      </c>
      <c r="BM25" s="75">
        <v>0.55080832843694694</v>
      </c>
      <c r="BN25" s="75">
        <v>0.55080832843694694</v>
      </c>
      <c r="BO25" s="75">
        <v>0.55080832843694694</v>
      </c>
      <c r="BP25" s="75">
        <v>0.55080832843694694</v>
      </c>
      <c r="BQ25" s="75">
        <v>0.55080832843694694</v>
      </c>
      <c r="BR25" s="75">
        <v>0.55080832843694694</v>
      </c>
      <c r="BS25" s="75">
        <v>0.55080832843694694</v>
      </c>
      <c r="BT25" s="75">
        <v>1.0890639019597526</v>
      </c>
      <c r="BU25" s="75">
        <v>1.0890639019597526</v>
      </c>
      <c r="BV25" s="75">
        <v>1.0890639019597526</v>
      </c>
      <c r="BW25" s="75">
        <v>0.97044106606034575</v>
      </c>
      <c r="BX25" s="75">
        <v>4.0276476965442454</v>
      </c>
      <c r="BY25" s="75">
        <v>5.4508486581672511</v>
      </c>
      <c r="BZ25" s="75">
        <v>5.4508486581672511</v>
      </c>
      <c r="CA25" s="75">
        <v>5.4508486581672511</v>
      </c>
      <c r="CB25" s="75">
        <v>5.4508486581672511</v>
      </c>
      <c r="CC25" s="75">
        <v>5.4508486581672511</v>
      </c>
      <c r="CD25" s="75">
        <v>5.4508486581672511</v>
      </c>
      <c r="CE25" s="75">
        <v>5.4508486581672511</v>
      </c>
      <c r="CF25" s="75">
        <v>4.8893684660268111</v>
      </c>
      <c r="CG25" s="75">
        <v>4.8893684660268111</v>
      </c>
      <c r="CH25" s="75">
        <v>4.8893684660268111</v>
      </c>
      <c r="CI25" s="75">
        <v>4.9839117285208623</v>
      </c>
      <c r="CJ25" s="75">
        <v>0.43195532081203858</v>
      </c>
      <c r="CK25" s="75">
        <v>-1.1292294878152087</v>
      </c>
      <c r="CL25" s="75">
        <v>-1.1292294878152087</v>
      </c>
      <c r="CM25" s="75">
        <v>-1.2437658680991559</v>
      </c>
      <c r="CN25" s="75">
        <v>-1.2625212571422573</v>
      </c>
      <c r="CO25" s="75">
        <v>-1.2625212571422573</v>
      </c>
      <c r="CP25" s="75">
        <v>-1.2390931173506203</v>
      </c>
      <c r="CQ25" s="75">
        <v>-1.2390931173506203</v>
      </c>
      <c r="CR25" s="75">
        <v>-1.010010314342058</v>
      </c>
      <c r="CS25" s="75">
        <v>-1.010010314342058</v>
      </c>
      <c r="CT25" s="75">
        <v>-1.010010314342058</v>
      </c>
    </row>
    <row r="26" spans="1:98" ht="15.5" x14ac:dyDescent="0.35">
      <c r="A26" s="83">
        <v>14</v>
      </c>
      <c r="B26" s="27"/>
      <c r="C26" s="27"/>
      <c r="D26" s="29" t="s">
        <v>16</v>
      </c>
      <c r="E26" s="104">
        <f>E27</f>
        <v>17.7780236157529</v>
      </c>
      <c r="F26" s="91">
        <v>1.6326398447916501</v>
      </c>
      <c r="G26" s="91">
        <v>1.6326398447916501</v>
      </c>
      <c r="H26" s="91">
        <v>1.2985630188306674</v>
      </c>
      <c r="I26" s="91">
        <v>1.2985630188306674</v>
      </c>
      <c r="J26" s="91">
        <v>1.2985630188306674</v>
      </c>
      <c r="K26" s="91">
        <v>1.2985630188306674</v>
      </c>
      <c r="L26" s="91">
        <v>1.2985630188306674</v>
      </c>
      <c r="M26" s="91">
        <v>0.49195699174571228</v>
      </c>
      <c r="N26" s="91">
        <v>2.5417245776632624</v>
      </c>
      <c r="O26" s="91">
        <v>2.5417245776632624</v>
      </c>
      <c r="P26" s="91">
        <v>2.5417245776632624</v>
      </c>
      <c r="Q26" s="91">
        <v>2.5417245776632624</v>
      </c>
      <c r="R26" s="91">
        <v>3.9491860181799732</v>
      </c>
      <c r="S26" s="91">
        <v>3.9491860181799732</v>
      </c>
      <c r="T26" s="91">
        <v>3.9491860181799732</v>
      </c>
      <c r="U26" s="91">
        <v>3.9491860181799732</v>
      </c>
      <c r="V26" s="91">
        <v>3.9491860181799732</v>
      </c>
      <c r="W26" s="91">
        <v>4.0148334569061861</v>
      </c>
      <c r="X26" s="91">
        <v>4.4653833124097764</v>
      </c>
      <c r="Y26" s="91">
        <v>4.4653833124097764</v>
      </c>
      <c r="Z26" s="91">
        <v>1.8759765770172576</v>
      </c>
      <c r="AA26" s="91">
        <v>1.8759765770172576</v>
      </c>
      <c r="AB26" s="91">
        <v>1.8759765770172576</v>
      </c>
      <c r="AC26" s="91">
        <v>1.8759765770172576</v>
      </c>
      <c r="AD26" s="91">
        <v>0.49658618215588923</v>
      </c>
      <c r="AE26" s="91">
        <v>0.49658618215588923</v>
      </c>
      <c r="AF26" s="91">
        <v>0.49658618215588923</v>
      </c>
      <c r="AG26" s="91">
        <v>1.5147698688704914</v>
      </c>
      <c r="AH26" s="91">
        <v>1.5147698688704914</v>
      </c>
      <c r="AI26" s="91">
        <v>5.5257214879176342</v>
      </c>
      <c r="AJ26" s="91">
        <v>6.9347234020006754</v>
      </c>
      <c r="AK26" s="91">
        <v>6.9347234020006754</v>
      </c>
      <c r="AL26" s="91">
        <v>6.9347234020006754</v>
      </c>
      <c r="AM26" s="91">
        <v>6.9347234020006754</v>
      </c>
      <c r="AN26" s="91">
        <v>6.9347234020006754</v>
      </c>
      <c r="AO26" s="91">
        <v>6.9347234020006754</v>
      </c>
      <c r="AP26" s="91">
        <v>7.727269573438722</v>
      </c>
      <c r="AQ26" s="91">
        <v>7.727269573438722</v>
      </c>
      <c r="AR26" s="91">
        <v>7.727269573438722</v>
      </c>
      <c r="AS26" s="91">
        <v>6.646775093318591</v>
      </c>
      <c r="AT26" s="91">
        <v>6.646775093318591</v>
      </c>
      <c r="AU26" s="91">
        <v>2.5284628839642442</v>
      </c>
      <c r="AV26" s="91">
        <v>1.1301314619488467</v>
      </c>
      <c r="AW26" s="91">
        <v>1.1301314619488467</v>
      </c>
      <c r="AX26" s="91">
        <v>1.1301314619488467</v>
      </c>
      <c r="AY26" s="91">
        <v>1.1301314619488467</v>
      </c>
      <c r="AZ26" s="91">
        <v>1.1301314619488467</v>
      </c>
      <c r="BA26" s="91">
        <v>1.1301314619488467</v>
      </c>
      <c r="BB26" s="91">
        <v>1.5818409046071347</v>
      </c>
      <c r="BC26" s="91">
        <v>1.5818409046071347</v>
      </c>
      <c r="BD26" s="91">
        <v>4.4235084138893432</v>
      </c>
      <c r="BE26" s="91">
        <v>4.4235084138893432</v>
      </c>
      <c r="BF26" s="91">
        <v>4.4235084138893432</v>
      </c>
      <c r="BG26" s="91">
        <v>4.4235084138893432</v>
      </c>
      <c r="BH26" s="91">
        <v>5.5625841720224445</v>
      </c>
      <c r="BI26" s="91">
        <v>4.9821591322048109</v>
      </c>
      <c r="BJ26" s="91">
        <v>4.9821591322048109</v>
      </c>
      <c r="BK26" s="91">
        <v>4.9821591322048109</v>
      </c>
      <c r="BL26" s="91">
        <v>4.9821591322048109</v>
      </c>
      <c r="BM26" s="91">
        <v>5.0374294851628809</v>
      </c>
      <c r="BN26" s="91">
        <v>3.8010330497076694</v>
      </c>
      <c r="BO26" s="91">
        <v>3.8010330497076694</v>
      </c>
      <c r="BP26" s="91">
        <v>0.97630490632680811</v>
      </c>
      <c r="BQ26" s="91">
        <v>0.97630490632680811</v>
      </c>
      <c r="BR26" s="91">
        <v>0.97630490632680811</v>
      </c>
      <c r="BS26" s="91">
        <v>0.97630490632680811</v>
      </c>
      <c r="BT26" s="91">
        <v>-0.49748184072851975</v>
      </c>
      <c r="BU26" s="91">
        <v>5.2647376863790285E-2</v>
      </c>
      <c r="BV26" s="91">
        <v>-0.40235872838929598</v>
      </c>
      <c r="BW26" s="91">
        <v>-0.40235872838929598</v>
      </c>
      <c r="BX26" s="91">
        <v>-0.40235872838929598</v>
      </c>
      <c r="BY26" s="91">
        <v>-0.4547666825238994</v>
      </c>
      <c r="BZ26" s="91">
        <v>-0.4547666825238994</v>
      </c>
      <c r="CA26" s="91">
        <v>-0.2172920208168172</v>
      </c>
      <c r="CB26" s="91">
        <v>-0.4547666825238883</v>
      </c>
      <c r="CC26" s="91">
        <v>-0.4547666825238883</v>
      </c>
      <c r="CD26" s="91">
        <v>-0.4547666825238883</v>
      </c>
      <c r="CE26" s="91">
        <v>-0.4547666825238883</v>
      </c>
      <c r="CF26" s="91">
        <v>-0.4547666825238883</v>
      </c>
      <c r="CG26" s="91">
        <v>-0.4547666825238883</v>
      </c>
      <c r="CH26" s="91">
        <v>2.2204460492503131E-14</v>
      </c>
      <c r="CI26" s="91">
        <v>2.2204460492503131E-14</v>
      </c>
      <c r="CJ26" s="91">
        <v>2.2204460492503131E-14</v>
      </c>
      <c r="CK26" s="91">
        <v>0.10210708012174941</v>
      </c>
      <c r="CL26" s="91">
        <v>2.2204460492503131E-14</v>
      </c>
      <c r="CM26" s="91">
        <v>-0.23799179889625321</v>
      </c>
      <c r="CN26" s="91">
        <v>2.2204460492503131E-14</v>
      </c>
      <c r="CO26" s="91">
        <v>2.2204460492503131E-14</v>
      </c>
      <c r="CP26" s="91">
        <v>2.2204460492503131E-14</v>
      </c>
      <c r="CQ26" s="91">
        <v>2.2204460492503131E-14</v>
      </c>
      <c r="CR26" s="91">
        <v>2.2204460492503131E-14</v>
      </c>
      <c r="CS26" s="91">
        <v>-0.15144675802012397</v>
      </c>
      <c r="CT26" s="91">
        <v>-0.15144675802012397</v>
      </c>
    </row>
    <row r="27" spans="1:98" ht="15.5" x14ac:dyDescent="0.35">
      <c r="A27" s="88"/>
      <c r="B27" s="42">
        <v>141</v>
      </c>
      <c r="C27" s="37">
        <v>1410</v>
      </c>
      <c r="D27" s="40" t="s">
        <v>95</v>
      </c>
      <c r="E27" s="102">
        <f>[1]CLASSI_EAI!G413</f>
        <v>17.7780236157529</v>
      </c>
      <c r="F27" s="75">
        <v>1.6326398447916501</v>
      </c>
      <c r="G27" s="75">
        <v>1.6326398447916501</v>
      </c>
      <c r="H27" s="75">
        <v>1.2985630188306674</v>
      </c>
      <c r="I27" s="75">
        <v>1.2985630188306674</v>
      </c>
      <c r="J27" s="75">
        <v>1.2985630188306674</v>
      </c>
      <c r="K27" s="75">
        <v>1.2985630188306674</v>
      </c>
      <c r="L27" s="75">
        <v>1.2985630188306674</v>
      </c>
      <c r="M27" s="75">
        <v>0.49195699174571228</v>
      </c>
      <c r="N27" s="75">
        <v>2.5417245776632624</v>
      </c>
      <c r="O27" s="75">
        <v>2.5417245776632624</v>
      </c>
      <c r="P27" s="75">
        <v>2.5417245776632624</v>
      </c>
      <c r="Q27" s="75">
        <v>2.5417245776632624</v>
      </c>
      <c r="R27" s="75">
        <v>3.9491860181799732</v>
      </c>
      <c r="S27" s="75">
        <v>3.9491860181799732</v>
      </c>
      <c r="T27" s="75">
        <v>3.9491860181799732</v>
      </c>
      <c r="U27" s="75">
        <v>3.9491860181799732</v>
      </c>
      <c r="V27" s="75">
        <v>3.9491860181799732</v>
      </c>
      <c r="W27" s="75">
        <v>4.0148334569061861</v>
      </c>
      <c r="X27" s="75">
        <v>4.4653833124097764</v>
      </c>
      <c r="Y27" s="75">
        <v>4.4653833124097764</v>
      </c>
      <c r="Z27" s="75">
        <v>1.8759765770172576</v>
      </c>
      <c r="AA27" s="75">
        <v>1.8759765770172576</v>
      </c>
      <c r="AB27" s="75">
        <v>1.8759765770172576</v>
      </c>
      <c r="AC27" s="75">
        <v>1.8759765770172576</v>
      </c>
      <c r="AD27" s="75">
        <v>0.49658618215588923</v>
      </c>
      <c r="AE27" s="75">
        <v>0.49658618215588923</v>
      </c>
      <c r="AF27" s="75">
        <v>0.49658618215588923</v>
      </c>
      <c r="AG27" s="75">
        <v>1.5147698688704914</v>
      </c>
      <c r="AH27" s="75">
        <v>1.5147698688704914</v>
      </c>
      <c r="AI27" s="75">
        <v>5.5257214879176342</v>
      </c>
      <c r="AJ27" s="75">
        <v>6.9347234020006754</v>
      </c>
      <c r="AK27" s="75">
        <v>6.9347234020006754</v>
      </c>
      <c r="AL27" s="75">
        <v>6.9347234020006754</v>
      </c>
      <c r="AM27" s="75">
        <v>6.9347234020006754</v>
      </c>
      <c r="AN27" s="75">
        <v>6.9347234020006754</v>
      </c>
      <c r="AO27" s="75">
        <v>6.9347234020006754</v>
      </c>
      <c r="AP27" s="75">
        <v>7.727269573438722</v>
      </c>
      <c r="AQ27" s="75">
        <v>7.727269573438722</v>
      </c>
      <c r="AR27" s="75">
        <v>7.727269573438722</v>
      </c>
      <c r="AS27" s="75">
        <v>6.646775093318591</v>
      </c>
      <c r="AT27" s="75">
        <v>6.646775093318591</v>
      </c>
      <c r="AU27" s="75">
        <v>2.5284628839642442</v>
      </c>
      <c r="AV27" s="75">
        <v>1.1301314619488467</v>
      </c>
      <c r="AW27" s="75">
        <v>1.1301314619488467</v>
      </c>
      <c r="AX27" s="75">
        <v>1.1301314619488467</v>
      </c>
      <c r="AY27" s="75">
        <v>1.1301314619488467</v>
      </c>
      <c r="AZ27" s="75">
        <v>1.1301314619488467</v>
      </c>
      <c r="BA27" s="75">
        <v>1.1301314619488467</v>
      </c>
      <c r="BB27" s="75">
        <v>1.5818409046071347</v>
      </c>
      <c r="BC27" s="75">
        <v>1.5818409046071347</v>
      </c>
      <c r="BD27" s="75">
        <v>4.4235084138893432</v>
      </c>
      <c r="BE27" s="75">
        <v>4.4235084138893432</v>
      </c>
      <c r="BF27" s="75">
        <v>4.4235084138893432</v>
      </c>
      <c r="BG27" s="75">
        <v>4.4235084138893432</v>
      </c>
      <c r="BH27" s="75">
        <v>5.5625841720224445</v>
      </c>
      <c r="BI27" s="75">
        <v>4.9821591322048109</v>
      </c>
      <c r="BJ27" s="75">
        <v>4.9821591322048109</v>
      </c>
      <c r="BK27" s="75">
        <v>4.9821591322048109</v>
      </c>
      <c r="BL27" s="75">
        <v>4.9821591322048109</v>
      </c>
      <c r="BM27" s="75">
        <v>5.0374294851628809</v>
      </c>
      <c r="BN27" s="75">
        <v>3.8010330497076694</v>
      </c>
      <c r="BO27" s="75">
        <v>3.8010330497076694</v>
      </c>
      <c r="BP27" s="75">
        <v>0.97630490632680811</v>
      </c>
      <c r="BQ27" s="75">
        <v>0.97630490632680811</v>
      </c>
      <c r="BR27" s="75">
        <v>0.97630490632680811</v>
      </c>
      <c r="BS27" s="75">
        <v>0.97630490632680811</v>
      </c>
      <c r="BT27" s="75">
        <v>-0.49748184072851975</v>
      </c>
      <c r="BU27" s="75">
        <v>5.2647376863790285E-2</v>
      </c>
      <c r="BV27" s="75">
        <v>-0.40235872838929598</v>
      </c>
      <c r="BW27" s="75">
        <v>-0.40235872838929598</v>
      </c>
      <c r="BX27" s="75">
        <v>-0.40235872838929598</v>
      </c>
      <c r="BY27" s="75">
        <v>-0.4547666825238994</v>
      </c>
      <c r="BZ27" s="75">
        <v>-0.4547666825238994</v>
      </c>
      <c r="CA27" s="75">
        <v>-0.2172920208168172</v>
      </c>
      <c r="CB27" s="75">
        <v>-0.4547666825238883</v>
      </c>
      <c r="CC27" s="75">
        <v>-0.4547666825238883</v>
      </c>
      <c r="CD27" s="75">
        <v>-0.4547666825238883</v>
      </c>
      <c r="CE27" s="75">
        <v>-0.4547666825238883</v>
      </c>
      <c r="CF27" s="75">
        <v>-0.4547666825238883</v>
      </c>
      <c r="CG27" s="75">
        <v>-0.4547666825238883</v>
      </c>
      <c r="CH27" s="75">
        <v>2.2204460492503131E-14</v>
      </c>
      <c r="CI27" s="75">
        <v>2.2204460492503131E-14</v>
      </c>
      <c r="CJ27" s="75">
        <v>2.2204460492503131E-14</v>
      </c>
      <c r="CK27" s="75">
        <v>0.10210708012174941</v>
      </c>
      <c r="CL27" s="75">
        <v>2.2204460492503131E-14</v>
      </c>
      <c r="CM27" s="75">
        <v>-0.23799179889625321</v>
      </c>
      <c r="CN27" s="75">
        <v>2.2204460492503131E-14</v>
      </c>
      <c r="CO27" s="75">
        <v>2.2204460492503131E-14</v>
      </c>
      <c r="CP27" s="75">
        <v>2.2204460492503131E-14</v>
      </c>
      <c r="CQ27" s="75">
        <v>2.2204460492503131E-14</v>
      </c>
      <c r="CR27" s="75">
        <v>2.2204460492503131E-14</v>
      </c>
      <c r="CS27" s="75">
        <v>-0.15144675802012397</v>
      </c>
      <c r="CT27" s="75">
        <v>-0.15144675802012397</v>
      </c>
    </row>
    <row r="28" spans="1:98" ht="15.5" x14ac:dyDescent="0.35">
      <c r="A28" s="83">
        <v>15</v>
      </c>
      <c r="B28" s="27"/>
      <c r="C28" s="27"/>
      <c r="D28" s="29" t="s">
        <v>17</v>
      </c>
      <c r="E28" s="104">
        <f>E29</f>
        <v>15.1431032759355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-6.0804397195157289</v>
      </c>
      <c r="AH28" s="91">
        <v>-6.0804397195157289</v>
      </c>
      <c r="AI28" s="91">
        <v>-6.0804397195157289</v>
      </c>
      <c r="AJ28" s="91">
        <v>-6.0804397195157289</v>
      </c>
      <c r="AK28" s="91">
        <v>-6.0804397195157289</v>
      </c>
      <c r="AL28" s="91">
        <v>-6.0804397195157289</v>
      </c>
      <c r="AM28" s="91">
        <v>-6.0804397195157289</v>
      </c>
      <c r="AN28" s="91">
        <v>-6.0804397195157289</v>
      </c>
      <c r="AO28" s="91">
        <v>-6.0804397195157289</v>
      </c>
      <c r="AP28" s="91">
        <v>-6.0804397195157289</v>
      </c>
      <c r="AQ28" s="91">
        <v>-6.0804397195157289</v>
      </c>
      <c r="AR28" s="91">
        <v>-6.0804397195157289</v>
      </c>
      <c r="AS28" s="91">
        <v>0</v>
      </c>
      <c r="AT28" s="91">
        <v>1.3894214014664508</v>
      </c>
      <c r="AU28" s="91">
        <v>1.3894214014664508</v>
      </c>
      <c r="AV28" s="91">
        <v>1.3894214014664508</v>
      </c>
      <c r="AW28" s="91">
        <v>1.3894214014664508</v>
      </c>
      <c r="AX28" s="91">
        <v>1.3894214014664508</v>
      </c>
      <c r="AY28" s="91">
        <v>1.3894214014664508</v>
      </c>
      <c r="AZ28" s="91">
        <v>1.3894214014664508</v>
      </c>
      <c r="BA28" s="91">
        <v>1.3894214014664508</v>
      </c>
      <c r="BB28" s="91">
        <v>1.3894214014664508</v>
      </c>
      <c r="BC28" s="91">
        <v>1.3894214014664508</v>
      </c>
      <c r="BD28" s="91">
        <v>4.5639552591273169</v>
      </c>
      <c r="BE28" s="91">
        <v>4.5639552591273169</v>
      </c>
      <c r="BF28" s="91">
        <v>3.1310306477545069</v>
      </c>
      <c r="BG28" s="91">
        <v>9.3153978882255739</v>
      </c>
      <c r="BH28" s="91">
        <v>9.3153978882255739</v>
      </c>
      <c r="BI28" s="91">
        <v>9.3153978882255739</v>
      </c>
      <c r="BJ28" s="91">
        <v>9.3153978882255739</v>
      </c>
      <c r="BK28" s="91">
        <v>9.3153978882255739</v>
      </c>
      <c r="BL28" s="91">
        <v>9.3153978882255739</v>
      </c>
      <c r="BM28" s="91">
        <v>9.3153978882255739</v>
      </c>
      <c r="BN28" s="91">
        <v>12.005368531131055</v>
      </c>
      <c r="BO28" s="91">
        <v>10.549103685760386</v>
      </c>
      <c r="BP28" s="91">
        <v>7.1928623144884574</v>
      </c>
      <c r="BQ28" s="91">
        <v>7.1928623144884574</v>
      </c>
      <c r="BR28" s="91">
        <v>7.1928623144884574</v>
      </c>
      <c r="BS28" s="91">
        <v>1.1285745845212691</v>
      </c>
      <c r="BT28" s="91">
        <v>1.1285745845212691</v>
      </c>
      <c r="BU28" s="91">
        <v>1.1285745845212691</v>
      </c>
      <c r="BV28" s="91">
        <v>1.1285745845212691</v>
      </c>
      <c r="BW28" s="91">
        <v>1.1285745845212691</v>
      </c>
      <c r="BX28" s="91">
        <v>1.1285745845212691</v>
      </c>
      <c r="BY28" s="91">
        <v>1.1285745845212691</v>
      </c>
      <c r="BZ28" s="91">
        <v>-1.3001741474257367</v>
      </c>
      <c r="CA28" s="91">
        <v>0</v>
      </c>
      <c r="CB28" s="91">
        <v>0</v>
      </c>
      <c r="CC28" s="91">
        <v>0</v>
      </c>
      <c r="CD28" s="91">
        <v>0</v>
      </c>
      <c r="CE28" s="91">
        <v>0</v>
      </c>
      <c r="CF28" s="91">
        <v>0</v>
      </c>
      <c r="CG28" s="91">
        <v>0</v>
      </c>
      <c r="CH28" s="91">
        <v>0</v>
      </c>
      <c r="CI28" s="91">
        <v>0</v>
      </c>
      <c r="CJ28" s="91">
        <v>0</v>
      </c>
      <c r="CK28" s="91">
        <v>0</v>
      </c>
      <c r="CL28" s="91">
        <v>0</v>
      </c>
      <c r="CM28" s="91">
        <v>0</v>
      </c>
      <c r="CN28" s="91">
        <v>0</v>
      </c>
      <c r="CO28" s="91">
        <v>0</v>
      </c>
      <c r="CP28" s="91">
        <v>0</v>
      </c>
      <c r="CQ28" s="91">
        <v>0</v>
      </c>
      <c r="CR28" s="91">
        <v>0</v>
      </c>
      <c r="CS28" s="91">
        <v>0</v>
      </c>
      <c r="CT28" s="91">
        <v>0</v>
      </c>
    </row>
    <row r="29" spans="1:98" ht="15.5" x14ac:dyDescent="0.35">
      <c r="A29" s="88"/>
      <c r="B29" s="35">
        <v>152</v>
      </c>
      <c r="C29" s="31" t="s">
        <v>96</v>
      </c>
      <c r="D29" s="51" t="s">
        <v>97</v>
      </c>
      <c r="E29" s="102">
        <f>VLOOKUP(C29,[1]CLASSI_EAI!A:G,7,FALSE)</f>
        <v>15.1431032759355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-6.0804397195157289</v>
      </c>
      <c r="AH29" s="73">
        <v>-6.0804397195157289</v>
      </c>
      <c r="AI29" s="73">
        <v>-6.0804397195157289</v>
      </c>
      <c r="AJ29" s="73">
        <v>-6.0804397195157289</v>
      </c>
      <c r="AK29" s="73">
        <v>-6.0804397195157289</v>
      </c>
      <c r="AL29" s="73">
        <v>-6.0804397195157289</v>
      </c>
      <c r="AM29" s="73">
        <v>-6.0804397195157289</v>
      </c>
      <c r="AN29" s="73">
        <v>-6.0804397195157289</v>
      </c>
      <c r="AO29" s="73">
        <v>-6.0804397195157289</v>
      </c>
      <c r="AP29" s="73">
        <v>-6.0804397195157289</v>
      </c>
      <c r="AQ29" s="73">
        <v>-6.0804397195157289</v>
      </c>
      <c r="AR29" s="73">
        <v>-6.0804397195157289</v>
      </c>
      <c r="AS29" s="73">
        <v>0</v>
      </c>
      <c r="AT29" s="73">
        <v>1.3894214014664508</v>
      </c>
      <c r="AU29" s="73">
        <v>1.3894214014664508</v>
      </c>
      <c r="AV29" s="73">
        <v>1.3894214014664508</v>
      </c>
      <c r="AW29" s="73">
        <v>1.3894214014664508</v>
      </c>
      <c r="AX29" s="73">
        <v>1.3894214014664508</v>
      </c>
      <c r="AY29" s="73">
        <v>1.3894214014664508</v>
      </c>
      <c r="AZ29" s="73">
        <v>1.3894214014664508</v>
      </c>
      <c r="BA29" s="73">
        <v>1.3894214014664508</v>
      </c>
      <c r="BB29" s="73">
        <v>1.3894214014664508</v>
      </c>
      <c r="BC29" s="73">
        <v>1.3894214014664508</v>
      </c>
      <c r="BD29" s="73">
        <v>4.5639552591273169</v>
      </c>
      <c r="BE29" s="73">
        <v>4.5639552591273169</v>
      </c>
      <c r="BF29" s="73">
        <v>3.1310306477545069</v>
      </c>
      <c r="BG29" s="73">
        <v>9.3153978882255739</v>
      </c>
      <c r="BH29" s="73">
        <v>9.3153978882255739</v>
      </c>
      <c r="BI29" s="73">
        <v>9.3153978882255739</v>
      </c>
      <c r="BJ29" s="73">
        <v>9.3153978882255739</v>
      </c>
      <c r="BK29" s="73">
        <v>9.3153978882255739</v>
      </c>
      <c r="BL29" s="73">
        <v>9.3153978882255739</v>
      </c>
      <c r="BM29" s="73">
        <v>9.3153978882255739</v>
      </c>
      <c r="BN29" s="73">
        <v>12.005368531131055</v>
      </c>
      <c r="BO29" s="73">
        <v>10.549103685760386</v>
      </c>
      <c r="BP29" s="73">
        <v>7.1928623144884574</v>
      </c>
      <c r="BQ29" s="73">
        <v>7.1928623144884574</v>
      </c>
      <c r="BR29" s="73">
        <v>7.1928623144884574</v>
      </c>
      <c r="BS29" s="73">
        <v>1.1285745845212691</v>
      </c>
      <c r="BT29" s="73">
        <v>1.1285745845212691</v>
      </c>
      <c r="BU29" s="73">
        <v>1.1285745845212691</v>
      </c>
      <c r="BV29" s="73">
        <v>1.1285745845212691</v>
      </c>
      <c r="BW29" s="73">
        <v>1.1285745845212691</v>
      </c>
      <c r="BX29" s="73">
        <v>1.1285745845212691</v>
      </c>
      <c r="BY29" s="73">
        <v>1.1285745845212691</v>
      </c>
      <c r="BZ29" s="73">
        <v>-1.3001741474257367</v>
      </c>
      <c r="CA29" s="73">
        <v>0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0</v>
      </c>
      <c r="CI29" s="73">
        <v>0</v>
      </c>
      <c r="CJ29" s="73">
        <v>0</v>
      </c>
      <c r="CK29" s="73">
        <v>0</v>
      </c>
      <c r="CL29" s="73">
        <v>0</v>
      </c>
      <c r="CM29" s="73">
        <v>0</v>
      </c>
      <c r="CN29" s="73">
        <v>0</v>
      </c>
      <c r="CO29" s="73">
        <v>0</v>
      </c>
      <c r="CP29" s="73">
        <v>0</v>
      </c>
      <c r="CQ29" s="73">
        <v>0</v>
      </c>
      <c r="CR29" s="73">
        <v>0</v>
      </c>
      <c r="CS29" s="73">
        <v>0</v>
      </c>
      <c r="CT29" s="73">
        <v>0</v>
      </c>
    </row>
    <row r="30" spans="1:98" ht="15.5" x14ac:dyDescent="0.35">
      <c r="A30" s="83">
        <v>16</v>
      </c>
      <c r="B30" s="52"/>
      <c r="C30" s="52"/>
      <c r="D30" s="53" t="s">
        <v>18</v>
      </c>
      <c r="E30" s="105">
        <f>E31</f>
        <v>2.6298326565708301</v>
      </c>
      <c r="F30" s="92">
        <v>-2.2367167188723891</v>
      </c>
      <c r="G30" s="92">
        <v>-2.2913440540768271</v>
      </c>
      <c r="H30" s="92">
        <v>-2.1728340371424237</v>
      </c>
      <c r="I30" s="92">
        <v>-2.2677526914499202</v>
      </c>
      <c r="J30" s="92">
        <v>-0.96480339347946309</v>
      </c>
      <c r="K30" s="92">
        <v>0.89619472960913438</v>
      </c>
      <c r="L30" s="92">
        <v>1.0003580804383017</v>
      </c>
      <c r="M30" s="92">
        <v>2.9606140226847488</v>
      </c>
      <c r="N30" s="92">
        <v>2.8245796057322359</v>
      </c>
      <c r="O30" s="92">
        <v>2.959471769425015</v>
      </c>
      <c r="P30" s="92">
        <v>2.9574383074975064</v>
      </c>
      <c r="Q30" s="92">
        <v>1.0414733294702216</v>
      </c>
      <c r="R30" s="92">
        <v>1.1146498001934901</v>
      </c>
      <c r="S30" s="92">
        <v>1.1593167538861637</v>
      </c>
      <c r="T30" s="92">
        <v>1.0175160036935305</v>
      </c>
      <c r="U30" s="92">
        <v>0.73807052303449527</v>
      </c>
      <c r="V30" s="92">
        <v>0.80030216140685173</v>
      </c>
      <c r="W30" s="92">
        <v>0.80738972290681499</v>
      </c>
      <c r="X30" s="92">
        <v>0.83304350547199757</v>
      </c>
      <c r="Y30" s="92">
        <v>0.87420287730166635</v>
      </c>
      <c r="Z30" s="92">
        <v>0.97373513594707362</v>
      </c>
      <c r="AA30" s="92">
        <v>-0.26867213213322971</v>
      </c>
      <c r="AB30" s="92">
        <v>-0.30462900623219324</v>
      </c>
      <c r="AC30" s="92">
        <v>-0.33064769645961833</v>
      </c>
      <c r="AD30" s="92">
        <v>-0.33354084053910382</v>
      </c>
      <c r="AE30" s="92">
        <v>-0.37048429803736571</v>
      </c>
      <c r="AF30" s="92">
        <v>-0.31354373043592787</v>
      </c>
      <c r="AG30" s="92">
        <v>3.7620901172386034E-2</v>
      </c>
      <c r="AH30" s="92">
        <v>2.1019746453254662E-2</v>
      </c>
      <c r="AI30" s="92">
        <v>-1.591819256469007E-2</v>
      </c>
      <c r="AJ30" s="92">
        <v>1.7189592854438551E-2</v>
      </c>
      <c r="AK30" s="92">
        <v>-1.526620815266444E-2</v>
      </c>
      <c r="AL30" s="92">
        <v>-0.17396060310058692</v>
      </c>
      <c r="AM30" s="92">
        <v>-0.25765166303265419</v>
      </c>
      <c r="AN30" s="92">
        <v>-0.38173378292944982</v>
      </c>
      <c r="AO30" s="92">
        <v>-0.31895891504201135</v>
      </c>
      <c r="AP30" s="92">
        <v>-0.24494323861771194</v>
      </c>
      <c r="AQ30" s="92">
        <v>-0.22886337888808894</v>
      </c>
      <c r="AR30" s="92">
        <v>-0.26745031125067209</v>
      </c>
      <c r="AS30" s="92">
        <v>-0.225361158573123</v>
      </c>
      <c r="AT30" s="92">
        <v>-0.25753823769204542</v>
      </c>
      <c r="AU30" s="92">
        <v>-0.18158232513113548</v>
      </c>
      <c r="AV30" s="92">
        <v>-0.26484138406419611</v>
      </c>
      <c r="AW30" s="92">
        <v>-0.25004444033280837</v>
      </c>
      <c r="AX30" s="92">
        <v>-0.11839222970785324</v>
      </c>
      <c r="AY30" s="92">
        <v>-0.13430849811316703</v>
      </c>
      <c r="AZ30" s="92">
        <v>0.1315290660659052</v>
      </c>
      <c r="BA30" s="92">
        <v>0.33485906515826613</v>
      </c>
      <c r="BB30" s="92">
        <v>0.38420127938516568</v>
      </c>
      <c r="BC30" s="92">
        <v>0.47296637679214992</v>
      </c>
      <c r="BD30" s="92">
        <v>0.47268468111225648</v>
      </c>
      <c r="BE30" s="92">
        <v>0.38602055024832271</v>
      </c>
      <c r="BF30" s="92">
        <v>0.3364658046022484</v>
      </c>
      <c r="BG30" s="92">
        <v>0.22087098687237905</v>
      </c>
      <c r="BH30" s="92">
        <v>0.26881398471907403</v>
      </c>
      <c r="BI30" s="92">
        <v>0.28018907092843826</v>
      </c>
      <c r="BJ30" s="92">
        <v>0.24844833565023094</v>
      </c>
      <c r="BK30" s="92">
        <v>3.0476215760757208</v>
      </c>
      <c r="BL30" s="92">
        <v>2.8665920445527515</v>
      </c>
      <c r="BM30" s="92">
        <v>2.6439579469572427</v>
      </c>
      <c r="BN30" s="92">
        <v>2.496948717845604</v>
      </c>
      <c r="BO30" s="92">
        <v>2.4780881687985534</v>
      </c>
      <c r="BP30" s="92">
        <v>2.5687168974813268</v>
      </c>
      <c r="BQ30" s="92">
        <v>3.9282201914476289</v>
      </c>
      <c r="BR30" s="92">
        <v>4.0711835237130289</v>
      </c>
      <c r="BS30" s="92">
        <v>4.1830144177947615</v>
      </c>
      <c r="BT30" s="92">
        <v>5.4211568679734867</v>
      </c>
      <c r="BU30" s="92">
        <v>5.5452298507271847</v>
      </c>
      <c r="BV30" s="92">
        <v>5.4824513244070783</v>
      </c>
      <c r="BW30" s="92">
        <v>2.5847297644802758</v>
      </c>
      <c r="BX30" s="92">
        <v>2.5614000454828645</v>
      </c>
      <c r="BY30" s="92">
        <v>0.88413228982398007</v>
      </c>
      <c r="BZ30" s="92">
        <v>0.89329636412387448</v>
      </c>
      <c r="CA30" s="92">
        <v>0.87668039419255273</v>
      </c>
      <c r="CB30" s="92">
        <v>-0.71000897336198632</v>
      </c>
      <c r="CC30" s="92">
        <v>-3.5757312789147289</v>
      </c>
      <c r="CD30" s="92">
        <v>-3.9527849239354373</v>
      </c>
      <c r="CE30" s="92">
        <v>-4.7371852578316993</v>
      </c>
      <c r="CF30" s="92">
        <v>-6.3491971457708463</v>
      </c>
      <c r="CG30" s="92">
        <v>-6.119688673103985</v>
      </c>
      <c r="CH30" s="92">
        <v>-3.5990191850341469</v>
      </c>
      <c r="CI30" s="92">
        <v>-7.4276209637888391</v>
      </c>
      <c r="CJ30" s="92">
        <v>-7.8154092683006766</v>
      </c>
      <c r="CK30" s="92">
        <v>-6.3227354352165204</v>
      </c>
      <c r="CL30" s="92">
        <v>-6.2911381066001582</v>
      </c>
      <c r="CM30" s="92">
        <v>-6.1252709580682962</v>
      </c>
      <c r="CN30" s="92">
        <v>-3.3712975423660474</v>
      </c>
      <c r="CO30" s="92">
        <v>-1.8789624258290116</v>
      </c>
      <c r="CP30" s="92">
        <v>-1.326551135948717</v>
      </c>
      <c r="CQ30" s="92">
        <v>-0.51177825255512843</v>
      </c>
      <c r="CR30" s="92">
        <v>8.3848270653680945</v>
      </c>
      <c r="CS30" s="92">
        <v>8.0186438490052137</v>
      </c>
      <c r="CT30" s="92">
        <v>5.4711552900930549</v>
      </c>
    </row>
    <row r="31" spans="1:98" ht="15.5" x14ac:dyDescent="0.35">
      <c r="A31" s="88"/>
      <c r="B31" s="42">
        <v>162</v>
      </c>
      <c r="C31" s="37">
        <v>1620</v>
      </c>
      <c r="D31" s="40" t="s">
        <v>136</v>
      </c>
      <c r="E31" s="102">
        <f>[1]CLASSI_EAI!G471</f>
        <v>2.6298326565708301</v>
      </c>
      <c r="F31" s="75">
        <v>-2.2367167188723891</v>
      </c>
      <c r="G31" s="75">
        <v>-2.2913440540768271</v>
      </c>
      <c r="H31" s="75">
        <v>-2.1728340371424237</v>
      </c>
      <c r="I31" s="75">
        <v>-2.2677526914499202</v>
      </c>
      <c r="J31" s="75">
        <v>-0.96480339347946309</v>
      </c>
      <c r="K31" s="75">
        <v>0.89619472960913438</v>
      </c>
      <c r="L31" s="75">
        <v>1.0003580804383017</v>
      </c>
      <c r="M31" s="75">
        <v>2.9606140226847488</v>
      </c>
      <c r="N31" s="75">
        <v>2.8245796057322359</v>
      </c>
      <c r="O31" s="75">
        <v>2.959471769425015</v>
      </c>
      <c r="P31" s="75">
        <v>2.9574383074975064</v>
      </c>
      <c r="Q31" s="75">
        <v>1.0414733294702216</v>
      </c>
      <c r="R31" s="75">
        <v>1.1146498001934901</v>
      </c>
      <c r="S31" s="75">
        <v>1.1593167538861637</v>
      </c>
      <c r="T31" s="75">
        <v>1.0175160036935305</v>
      </c>
      <c r="U31" s="75">
        <v>0.73807052303449527</v>
      </c>
      <c r="V31" s="75">
        <v>0.80030216140685173</v>
      </c>
      <c r="W31" s="75">
        <v>0.80738972290681499</v>
      </c>
      <c r="X31" s="75">
        <v>0.83304350547199757</v>
      </c>
      <c r="Y31" s="75">
        <v>0.87420287730166635</v>
      </c>
      <c r="Z31" s="75">
        <v>0.97373513594707362</v>
      </c>
      <c r="AA31" s="75">
        <v>-0.26867213213322971</v>
      </c>
      <c r="AB31" s="75">
        <v>-0.30462900623219324</v>
      </c>
      <c r="AC31" s="75">
        <v>-0.33064769645961833</v>
      </c>
      <c r="AD31" s="75">
        <v>-0.33354084053910382</v>
      </c>
      <c r="AE31" s="75">
        <v>-0.37048429803736571</v>
      </c>
      <c r="AF31" s="75">
        <v>-0.31354373043592787</v>
      </c>
      <c r="AG31" s="75">
        <v>3.7620901172386034E-2</v>
      </c>
      <c r="AH31" s="75">
        <v>2.1019746453254662E-2</v>
      </c>
      <c r="AI31" s="75">
        <v>-1.591819256469007E-2</v>
      </c>
      <c r="AJ31" s="75">
        <v>1.7189592854438551E-2</v>
      </c>
      <c r="AK31" s="75">
        <v>-1.526620815266444E-2</v>
      </c>
      <c r="AL31" s="75">
        <v>-0.17396060310058692</v>
      </c>
      <c r="AM31" s="75">
        <v>-0.25765166303265419</v>
      </c>
      <c r="AN31" s="75">
        <v>-0.38173378292944982</v>
      </c>
      <c r="AO31" s="75">
        <v>-0.31895891504201135</v>
      </c>
      <c r="AP31" s="75">
        <v>-0.24494323861771194</v>
      </c>
      <c r="AQ31" s="75">
        <v>-0.22886337888808894</v>
      </c>
      <c r="AR31" s="75">
        <v>-0.26745031125067209</v>
      </c>
      <c r="AS31" s="75">
        <v>-0.225361158573123</v>
      </c>
      <c r="AT31" s="75">
        <v>-0.25753823769204542</v>
      </c>
      <c r="AU31" s="75">
        <v>-0.18158232513113548</v>
      </c>
      <c r="AV31" s="75">
        <v>-0.26484138406419611</v>
      </c>
      <c r="AW31" s="75">
        <v>-0.25004444033280837</v>
      </c>
      <c r="AX31" s="75">
        <v>-0.11839222970785324</v>
      </c>
      <c r="AY31" s="75">
        <v>-0.13430849811316703</v>
      </c>
      <c r="AZ31" s="75">
        <v>0.1315290660659052</v>
      </c>
      <c r="BA31" s="75">
        <v>0.33485906515826613</v>
      </c>
      <c r="BB31" s="75">
        <v>0.38420127938516568</v>
      </c>
      <c r="BC31" s="75">
        <v>0.47296637679214992</v>
      </c>
      <c r="BD31" s="75">
        <v>0.47268468111225648</v>
      </c>
      <c r="BE31" s="75">
        <v>0.38602055024832271</v>
      </c>
      <c r="BF31" s="75">
        <v>0.3364658046022484</v>
      </c>
      <c r="BG31" s="75">
        <v>0.22087098687237905</v>
      </c>
      <c r="BH31" s="75">
        <v>0.26881398471907403</v>
      </c>
      <c r="BI31" s="75">
        <v>0.28018907092843826</v>
      </c>
      <c r="BJ31" s="75">
        <v>0.24844833565023094</v>
      </c>
      <c r="BK31" s="75">
        <v>3.0476215760757208</v>
      </c>
      <c r="BL31" s="75">
        <v>2.8665920445527515</v>
      </c>
      <c r="BM31" s="75">
        <v>2.6439579469572427</v>
      </c>
      <c r="BN31" s="75">
        <v>2.496948717845604</v>
      </c>
      <c r="BO31" s="75">
        <v>2.4780881687985534</v>
      </c>
      <c r="BP31" s="75">
        <v>2.5687168974813268</v>
      </c>
      <c r="BQ31" s="75">
        <v>3.9282201914476289</v>
      </c>
      <c r="BR31" s="75">
        <v>4.0711835237130289</v>
      </c>
      <c r="BS31" s="75">
        <v>4.1830144177947615</v>
      </c>
      <c r="BT31" s="75">
        <v>5.4211568679734867</v>
      </c>
      <c r="BU31" s="75">
        <v>5.5452298507271847</v>
      </c>
      <c r="BV31" s="75">
        <v>5.4824513244070783</v>
      </c>
      <c r="BW31" s="75">
        <v>2.5847297644802758</v>
      </c>
      <c r="BX31" s="75">
        <v>2.5614000454828645</v>
      </c>
      <c r="BY31" s="75">
        <v>0.88413228982398007</v>
      </c>
      <c r="BZ31" s="75">
        <v>0.89329636412387448</v>
      </c>
      <c r="CA31" s="75">
        <v>0.87668039419255273</v>
      </c>
      <c r="CB31" s="75">
        <v>-0.71000897336198632</v>
      </c>
      <c r="CC31" s="75">
        <v>-3.5757312789147289</v>
      </c>
      <c r="CD31" s="75">
        <v>-3.9527849239354373</v>
      </c>
      <c r="CE31" s="75">
        <v>-4.7371852578316993</v>
      </c>
      <c r="CF31" s="75">
        <v>-6.3491971457708463</v>
      </c>
      <c r="CG31" s="75">
        <v>-6.119688673103985</v>
      </c>
      <c r="CH31" s="75">
        <v>-3.5990191850341469</v>
      </c>
      <c r="CI31" s="75">
        <v>-7.4276209637888391</v>
      </c>
      <c r="CJ31" s="75">
        <v>-7.8154092683006766</v>
      </c>
      <c r="CK31" s="75">
        <v>-6.3227354352165204</v>
      </c>
      <c r="CL31" s="75">
        <v>-6.2911381066001582</v>
      </c>
      <c r="CM31" s="75">
        <v>-6.1252709580682962</v>
      </c>
      <c r="CN31" s="75">
        <v>-3.3712975423660474</v>
      </c>
      <c r="CO31" s="75">
        <v>-1.8789624258290116</v>
      </c>
      <c r="CP31" s="75">
        <v>-1.326551135948717</v>
      </c>
      <c r="CQ31" s="75">
        <v>-0.51177825255512843</v>
      </c>
      <c r="CR31" s="75">
        <v>8.3848270653680945</v>
      </c>
      <c r="CS31" s="75">
        <v>8.0186438490052137</v>
      </c>
      <c r="CT31" s="75">
        <v>5.4711552900930549</v>
      </c>
    </row>
    <row r="32" spans="1:98" ht="15.5" x14ac:dyDescent="0.35">
      <c r="A32" s="83">
        <v>17</v>
      </c>
      <c r="B32" s="44"/>
      <c r="C32" s="44"/>
      <c r="D32" s="45" t="s">
        <v>19</v>
      </c>
      <c r="E32" s="101">
        <f>E33+E34+E35</f>
        <v>13.192132101796759</v>
      </c>
      <c r="F32" s="70">
        <v>11.790064796858246</v>
      </c>
      <c r="G32" s="70">
        <v>7.1910271331377285</v>
      </c>
      <c r="H32" s="70">
        <v>7.3880461287605614</v>
      </c>
      <c r="I32" s="70">
        <v>6.0212739509025281</v>
      </c>
      <c r="J32" s="70">
        <v>5.9432824340831303</v>
      </c>
      <c r="K32" s="70">
        <v>5.3353690582629953</v>
      </c>
      <c r="L32" s="70">
        <v>5.2640110013050911</v>
      </c>
      <c r="M32" s="70">
        <v>5.0281377295549268</v>
      </c>
      <c r="N32" s="70">
        <v>5.2911021863478958</v>
      </c>
      <c r="O32" s="70">
        <v>5.4869644819914409</v>
      </c>
      <c r="P32" s="70">
        <v>5.4859858348062618</v>
      </c>
      <c r="Q32" s="70">
        <v>3.0761188825868757</v>
      </c>
      <c r="R32" s="70">
        <v>2.3459734627875983</v>
      </c>
      <c r="S32" s="70">
        <v>2.224753776576649</v>
      </c>
      <c r="T32" s="70">
        <v>2.1590619934296562</v>
      </c>
      <c r="U32" s="70">
        <v>-0.36682656896859234</v>
      </c>
      <c r="V32" s="70">
        <v>-0.30642248896126656</v>
      </c>
      <c r="W32" s="70">
        <v>-2.5792756576250686</v>
      </c>
      <c r="X32" s="70">
        <v>-2.4890349851317328</v>
      </c>
      <c r="Y32" s="70">
        <v>-2.5435157750312798</v>
      </c>
      <c r="Z32" s="70">
        <v>-3.1892566073916773</v>
      </c>
      <c r="AA32" s="70">
        <v>-3.5823818769500471</v>
      </c>
      <c r="AB32" s="70">
        <v>-3.6938305097996782</v>
      </c>
      <c r="AC32" s="70">
        <v>-3.6681743690319624</v>
      </c>
      <c r="AD32" s="70">
        <v>-3.1354443665212561</v>
      </c>
      <c r="AE32" s="70">
        <v>-2.9186730085402735</v>
      </c>
      <c r="AF32" s="70">
        <v>-3.0199491646788035</v>
      </c>
      <c r="AG32" s="70">
        <v>-3.0311890862905089</v>
      </c>
      <c r="AH32" s="70">
        <v>-3.0169038024555506</v>
      </c>
      <c r="AI32" s="70">
        <v>-0.7906937609889364</v>
      </c>
      <c r="AJ32" s="70">
        <v>-0.85631234918241983</v>
      </c>
      <c r="AK32" s="70">
        <v>-0.70026525325634914</v>
      </c>
      <c r="AL32" s="70">
        <v>-0.25678739661880723</v>
      </c>
      <c r="AM32" s="70">
        <v>-0.22359826727554877</v>
      </c>
      <c r="AN32" s="70">
        <v>8.8134850720145153E-2</v>
      </c>
      <c r="AO32" s="70">
        <v>0.16730649914376006</v>
      </c>
      <c r="AP32" s="70">
        <v>-0.9588648725906701</v>
      </c>
      <c r="AQ32" s="70">
        <v>-0.94900465253664468</v>
      </c>
      <c r="AR32" s="70">
        <v>-0.96143527850878208</v>
      </c>
      <c r="AS32" s="70">
        <v>2.1770742610694338</v>
      </c>
      <c r="AT32" s="70">
        <v>2.4622149285749462</v>
      </c>
      <c r="AU32" s="70">
        <v>2.2087041886214465</v>
      </c>
      <c r="AV32" s="70">
        <v>2.5302794563288655</v>
      </c>
      <c r="AW32" s="70">
        <v>2.4899908833434514</v>
      </c>
      <c r="AX32" s="70">
        <v>2.8398463619941694</v>
      </c>
      <c r="AY32" s="70">
        <v>8.5966355824663729</v>
      </c>
      <c r="AZ32" s="70">
        <v>8.5374299938069989</v>
      </c>
      <c r="BA32" s="70">
        <v>8.8304598308772917</v>
      </c>
      <c r="BB32" s="70">
        <v>10.202582867338773</v>
      </c>
      <c r="BC32" s="70">
        <v>10.198823165839865</v>
      </c>
      <c r="BD32" s="70">
        <v>16.281118371386526</v>
      </c>
      <c r="BE32" s="70">
        <v>12.578992775569597</v>
      </c>
      <c r="BF32" s="70">
        <v>12.208947494428312</v>
      </c>
      <c r="BG32" s="70">
        <v>12.43462796028334</v>
      </c>
      <c r="BH32" s="70">
        <v>12.051233833977282</v>
      </c>
      <c r="BI32" s="70">
        <v>12.083180212546862</v>
      </c>
      <c r="BJ32" s="70">
        <v>11.746158808043772</v>
      </c>
      <c r="BK32" s="70">
        <v>5.9193701432045165</v>
      </c>
      <c r="BL32" s="70">
        <v>5.4666027904214154</v>
      </c>
      <c r="BM32" s="70">
        <v>5.0998471518880706</v>
      </c>
      <c r="BN32" s="70">
        <v>4.9481657975099402</v>
      </c>
      <c r="BO32" s="70">
        <v>5.0389077406338245</v>
      </c>
      <c r="BP32" s="70">
        <v>-0.34340781012607291</v>
      </c>
      <c r="BQ32" s="70">
        <v>-0.38567565682050553</v>
      </c>
      <c r="BR32" s="70">
        <v>-0.29618041729881917</v>
      </c>
      <c r="BS32" s="70">
        <v>-0.17332538827349309</v>
      </c>
      <c r="BT32" s="70">
        <v>-0.66060928054311185</v>
      </c>
      <c r="BU32" s="70">
        <v>-0.26884212160205312</v>
      </c>
      <c r="BV32" s="70">
        <v>-0.43565914070937684</v>
      </c>
      <c r="BW32" s="70">
        <v>-0.81352751669171441</v>
      </c>
      <c r="BX32" s="70">
        <v>-0.63965618107445499</v>
      </c>
      <c r="BY32" s="70">
        <v>-0.68033547037351649</v>
      </c>
      <c r="BZ32" s="70">
        <v>-0.70893133019820365</v>
      </c>
      <c r="CA32" s="70">
        <v>-0.72905018381469455</v>
      </c>
      <c r="CB32" s="70">
        <v>0.62626775620675534</v>
      </c>
      <c r="CC32" s="70">
        <v>0.67555655553206417</v>
      </c>
      <c r="CD32" s="70">
        <v>0.65277364741269661</v>
      </c>
      <c r="CE32" s="70">
        <v>0.25435682139411941</v>
      </c>
      <c r="CF32" s="70">
        <v>0.69907517038330091</v>
      </c>
      <c r="CG32" s="70">
        <v>0.33047051637460356</v>
      </c>
      <c r="CH32" s="70">
        <v>0.37567203552562045</v>
      </c>
      <c r="CI32" s="70">
        <v>0.77325472114420091</v>
      </c>
      <c r="CJ32" s="70">
        <v>7.3023567631880226E-2</v>
      </c>
      <c r="CK32" s="70">
        <v>6.3207118974983878E-2</v>
      </c>
      <c r="CL32" s="70">
        <v>0.5143045299043747</v>
      </c>
      <c r="CM32" s="70">
        <v>0.4349647021059333</v>
      </c>
      <c r="CN32" s="70">
        <v>-1.131594603412589</v>
      </c>
      <c r="CO32" s="70">
        <v>-1.1398938531246627</v>
      </c>
      <c r="CP32" s="70">
        <v>-0.86368522055388919</v>
      </c>
      <c r="CQ32" s="70">
        <v>-0.46006316886290088</v>
      </c>
      <c r="CR32" s="70">
        <v>-0.205476224046508</v>
      </c>
      <c r="CS32" s="70">
        <v>-0.20495253080148323</v>
      </c>
      <c r="CT32" s="70">
        <v>0.12189527364396824</v>
      </c>
    </row>
    <row r="33" spans="1:98" ht="15.5" x14ac:dyDescent="0.35">
      <c r="A33" s="88"/>
      <c r="B33" s="42">
        <v>170</v>
      </c>
      <c r="C33" s="31" t="s">
        <v>102</v>
      </c>
      <c r="D33" s="40" t="s">
        <v>91</v>
      </c>
      <c r="E33" s="102">
        <f>VLOOKUP(C33,[1]CLASSI_EAI!A:G,7,FALSE)</f>
        <v>0.96095840983093905</v>
      </c>
      <c r="F33" s="75">
        <v>5.7391840944319483</v>
      </c>
      <c r="G33" s="75">
        <v>4.0336301097180449</v>
      </c>
      <c r="H33" s="75">
        <v>4.8427708841210171</v>
      </c>
      <c r="I33" s="75">
        <v>4.6541246694086214</v>
      </c>
      <c r="J33" s="75">
        <v>4.1818826777506368</v>
      </c>
      <c r="K33" s="75">
        <v>4.1937317828084408</v>
      </c>
      <c r="L33" s="75">
        <v>2.9735123599850422</v>
      </c>
      <c r="M33" s="75">
        <v>1.0004341893188773</v>
      </c>
      <c r="N33" s="75">
        <v>4.4249602933572163</v>
      </c>
      <c r="O33" s="75">
        <v>4.1287105699769899</v>
      </c>
      <c r="P33" s="75">
        <v>4.1794168190815828</v>
      </c>
      <c r="Q33" s="75">
        <v>5.3577734388911225</v>
      </c>
      <c r="R33" s="75">
        <v>1.0501297238254548</v>
      </c>
      <c r="S33" s="75">
        <v>-0.57156232750149583</v>
      </c>
      <c r="T33" s="75">
        <v>1.0096417675487634</v>
      </c>
      <c r="U33" s="75">
        <v>1.125724940598527</v>
      </c>
      <c r="V33" s="75">
        <v>1.5851447797996521</v>
      </c>
      <c r="W33" s="75">
        <v>2.2227238022074935</v>
      </c>
      <c r="X33" s="75">
        <v>2.803037262232233</v>
      </c>
      <c r="Y33" s="75">
        <v>3.0116306450965746</v>
      </c>
      <c r="Z33" s="75">
        <v>-6.4544917705855465E-2</v>
      </c>
      <c r="AA33" s="75">
        <v>-1.7512966274835229E-2</v>
      </c>
      <c r="AB33" s="75">
        <v>-9.9201809531457297E-2</v>
      </c>
      <c r="AC33" s="75">
        <v>-0.33422249763679357</v>
      </c>
      <c r="AD33" s="75">
        <v>6.5433227075306633E-3</v>
      </c>
      <c r="AE33" s="75">
        <v>2.8607332451070944</v>
      </c>
      <c r="AF33" s="75">
        <v>0.57860472744646341</v>
      </c>
      <c r="AG33" s="75">
        <v>0.59306740623548126</v>
      </c>
      <c r="AH33" s="75">
        <v>0.71309793279448197</v>
      </c>
      <c r="AI33" s="75">
        <v>-2.8758223522595827E-2</v>
      </c>
      <c r="AJ33" s="75">
        <v>4.206094667205118E-2</v>
      </c>
      <c r="AK33" s="75">
        <v>-3.1508706880623016E-2</v>
      </c>
      <c r="AL33" s="75">
        <v>-0.39079609324815801</v>
      </c>
      <c r="AM33" s="75">
        <v>-0.57998327789994253</v>
      </c>
      <c r="AN33" s="75">
        <v>-0.86010632059497771</v>
      </c>
      <c r="AO33" s="75">
        <v>-0.54318838852881468</v>
      </c>
      <c r="AP33" s="75">
        <v>-2.57099044569018</v>
      </c>
      <c r="AQ33" s="75">
        <v>-2.5353890014277569</v>
      </c>
      <c r="AR33" s="75">
        <v>-2.6428052503916777</v>
      </c>
      <c r="AS33" s="75">
        <v>-2.5496504934058084</v>
      </c>
      <c r="AT33" s="75">
        <v>-2.7735104822876111</v>
      </c>
      <c r="AU33" s="75">
        <v>-2.3389779138463296</v>
      </c>
      <c r="AV33" s="75">
        <v>1.3922185267407183</v>
      </c>
      <c r="AW33" s="75">
        <v>3.0005136975596924</v>
      </c>
      <c r="AX33" s="75">
        <v>4.2130125728365719</v>
      </c>
      <c r="AY33" s="75">
        <v>4.1753750088613373</v>
      </c>
      <c r="AZ33" s="75">
        <v>5.0366782924191167</v>
      </c>
      <c r="BA33" s="75">
        <v>7.0744199864176904</v>
      </c>
      <c r="BB33" s="75">
        <v>10.636557966078986</v>
      </c>
      <c r="BC33" s="75">
        <v>10.85843193278906</v>
      </c>
      <c r="BD33" s="75">
        <v>12.213399907053034</v>
      </c>
      <c r="BE33" s="75">
        <v>12.395429439941029</v>
      </c>
      <c r="BF33" s="75">
        <v>12.736091842091168</v>
      </c>
      <c r="BG33" s="75">
        <v>12.13493022322627</v>
      </c>
      <c r="BH33" s="75">
        <v>7.9212379928435217</v>
      </c>
      <c r="BI33" s="75">
        <v>6.2991668975653115</v>
      </c>
      <c r="BJ33" s="75">
        <v>5.3013759462194443</v>
      </c>
      <c r="BK33" s="75">
        <v>5.2840505247440994</v>
      </c>
      <c r="BL33" s="75">
        <v>4.6339813250934725</v>
      </c>
      <c r="BM33" s="75">
        <v>2.6105648400562842</v>
      </c>
      <c r="BN33" s="75">
        <v>1.327927525890038</v>
      </c>
      <c r="BO33" s="75">
        <v>1.2856694617868536</v>
      </c>
      <c r="BP33" s="75">
        <v>0.39002713104023812</v>
      </c>
      <c r="BQ33" s="75">
        <v>0.1049709483138539</v>
      </c>
      <c r="BR33" s="75">
        <v>1.9494599973413074E-3</v>
      </c>
      <c r="BS33" s="75">
        <v>0.24568727699851856</v>
      </c>
      <c r="BT33" s="75">
        <v>-7.049387537346707</v>
      </c>
      <c r="BU33" s="75">
        <v>-6.8012382744033983</v>
      </c>
      <c r="BV33" s="75">
        <v>-6.9268432034508827</v>
      </c>
      <c r="BW33" s="75">
        <v>-6.9781527761253237</v>
      </c>
      <c r="BX33" s="75">
        <v>-7.0260970616382812</v>
      </c>
      <c r="BY33" s="75">
        <v>-7.0989104669072596</v>
      </c>
      <c r="BZ33" s="75">
        <v>-7.0797811620358146</v>
      </c>
      <c r="CA33" s="75">
        <v>-7.1144641071233199</v>
      </c>
      <c r="CB33" s="75">
        <v>-6.1649275430722739</v>
      </c>
      <c r="CC33" s="75">
        <v>-6.370630142703182</v>
      </c>
      <c r="CD33" s="75">
        <v>-6.4216265663849299</v>
      </c>
      <c r="CE33" s="75">
        <v>-6.4665886740669754</v>
      </c>
      <c r="CF33" s="75">
        <v>0.9552409889683311</v>
      </c>
      <c r="CG33" s="75">
        <v>1.3194650991900758</v>
      </c>
      <c r="CH33" s="75">
        <v>1.2061320995687241</v>
      </c>
      <c r="CI33" s="75">
        <v>1.4684800420880828</v>
      </c>
      <c r="CJ33" s="75">
        <v>-0.14796829576882997</v>
      </c>
      <c r="CK33" s="75">
        <v>-0.16625705085930864</v>
      </c>
      <c r="CL33" s="75">
        <v>-8.991322037428251E-2</v>
      </c>
      <c r="CM33" s="75">
        <v>-0.25091051532402098</v>
      </c>
      <c r="CN33" s="75">
        <v>-1.7986194708683234</v>
      </c>
      <c r="CO33" s="75">
        <v>-1.8351024221897161</v>
      </c>
      <c r="CP33" s="75">
        <v>-0.28737577952081539</v>
      </c>
      <c r="CQ33" s="75">
        <v>-0.23423333555423476</v>
      </c>
      <c r="CR33" s="75">
        <v>-1.6137906937231716</v>
      </c>
      <c r="CS33" s="75">
        <v>-2.1748041447188338</v>
      </c>
      <c r="CT33" s="75">
        <v>-1.4678496795039631</v>
      </c>
    </row>
    <row r="34" spans="1:98" ht="15.5" x14ac:dyDescent="0.35">
      <c r="A34" s="88"/>
      <c r="B34" s="42"/>
      <c r="C34" s="31" t="s">
        <v>103</v>
      </c>
      <c r="D34" s="40" t="s">
        <v>92</v>
      </c>
      <c r="E34" s="102">
        <f>VLOOKUP(C34,[1]CLASSI_EAI!A:G,7,FALSE)</f>
        <v>6.0093794149194499</v>
      </c>
      <c r="F34" s="75">
        <v>17.757491574306748</v>
      </c>
      <c r="G34" s="75">
        <v>8.2030962567189114</v>
      </c>
      <c r="H34" s="75">
        <v>8.4821686364123128</v>
      </c>
      <c r="I34" s="75">
        <v>0.47336098964896323</v>
      </c>
      <c r="J34" s="75">
        <v>0.38661416332477216</v>
      </c>
      <c r="K34" s="75">
        <v>0.34534984520273593</v>
      </c>
      <c r="L34" s="75">
        <v>0.37915839887161518</v>
      </c>
      <c r="M34" s="75">
        <v>0.19995433168737975</v>
      </c>
      <c r="N34" s="75">
        <v>0.23555776346879664</v>
      </c>
      <c r="O34" s="75">
        <v>0.66968593508942575</v>
      </c>
      <c r="P34" s="75">
        <v>0.66546097546429372</v>
      </c>
      <c r="Q34" s="75">
        <v>0.16570989155759719</v>
      </c>
      <c r="R34" s="75">
        <v>-0.69625689418777448</v>
      </c>
      <c r="S34" s="75">
        <v>-0.7125052079829719</v>
      </c>
      <c r="T34" s="75">
        <v>-1.0629220117908789</v>
      </c>
      <c r="U34" s="75">
        <v>-0.91923841992531674</v>
      </c>
      <c r="V34" s="75">
        <v>-0.86027022902679384</v>
      </c>
      <c r="W34" s="75">
        <v>-5.6429790139593266</v>
      </c>
      <c r="X34" s="75">
        <v>-5.533393664586395</v>
      </c>
      <c r="Y34" s="75">
        <v>-5.679725791129842</v>
      </c>
      <c r="Z34" s="75">
        <v>-6.5836935944184161</v>
      </c>
      <c r="AA34" s="75">
        <v>-7.3820814043689564</v>
      </c>
      <c r="AB34" s="75">
        <v>-7.5966223017185808</v>
      </c>
      <c r="AC34" s="75">
        <v>-7.5132675435082401</v>
      </c>
      <c r="AD34" s="75">
        <v>-6.5006573566522619</v>
      </c>
      <c r="AE34" s="75">
        <v>-6.4533315330493446</v>
      </c>
      <c r="AF34" s="75">
        <v>-6.3506946632353571</v>
      </c>
      <c r="AG34" s="75">
        <v>-6.3741981438009692</v>
      </c>
      <c r="AH34" s="75">
        <v>-6.3630866908068295</v>
      </c>
      <c r="AI34" s="75">
        <v>-1.680246179133893</v>
      </c>
      <c r="AJ34" s="75">
        <v>-1.8291169330475365</v>
      </c>
      <c r="AK34" s="75">
        <v>-1.4882072869885188</v>
      </c>
      <c r="AL34" s="75">
        <v>-0.48835583528687998</v>
      </c>
      <c r="AM34" s="75">
        <v>-0.38779975285175849</v>
      </c>
      <c r="AN34" s="75">
        <v>0.32596830139586253</v>
      </c>
      <c r="AO34" s="75">
        <v>0.44530287050492667</v>
      </c>
      <c r="AP34" s="75">
        <v>-1.6523467303264372</v>
      </c>
      <c r="AQ34" s="75">
        <v>-1.6375157100467552</v>
      </c>
      <c r="AR34" s="75">
        <v>-1.6470471874326487</v>
      </c>
      <c r="AS34" s="75">
        <v>5.0804865349630024</v>
      </c>
      <c r="AT34" s="75">
        <v>5.7298701624763915</v>
      </c>
      <c r="AU34" s="75">
        <v>5.1197658322860828</v>
      </c>
      <c r="AV34" s="75">
        <v>5.2178244492074422</v>
      </c>
      <c r="AW34" s="75">
        <v>4.8759357689679872</v>
      </c>
      <c r="AX34" s="75">
        <v>5.4315112925863218</v>
      </c>
      <c r="AY34" s="75">
        <v>13.701280086511879</v>
      </c>
      <c r="AZ34" s="75">
        <v>13.407948802074854</v>
      </c>
      <c r="BA34" s="75">
        <v>13.711359649123779</v>
      </c>
      <c r="BB34" s="75">
        <v>16.220346486010651</v>
      </c>
      <c r="BC34" s="75">
        <v>16.180708116707244</v>
      </c>
      <c r="BD34" s="75">
        <v>24.826736037722942</v>
      </c>
      <c r="BE34" s="75">
        <v>16.517665069622002</v>
      </c>
      <c r="BF34" s="75">
        <v>15.673768587214276</v>
      </c>
      <c r="BG34" s="75">
        <v>16.25959138767168</v>
      </c>
      <c r="BH34" s="75">
        <v>16.097012162931623</v>
      </c>
      <c r="BI34" s="75">
        <v>16.439213814222796</v>
      </c>
      <c r="BJ34" s="75">
        <v>15.869904451124484</v>
      </c>
      <c r="BK34" s="75">
        <v>7.661142884195371</v>
      </c>
      <c r="BL34" s="75">
        <v>6.8222907203135286</v>
      </c>
      <c r="BM34" s="75">
        <v>6.3669552096675464</v>
      </c>
      <c r="BN34" s="75">
        <v>6.2509354720128973</v>
      </c>
      <c r="BO34" s="75">
        <v>6.4453685680506689</v>
      </c>
      <c r="BP34" s="75">
        <v>-0.74704183312476191</v>
      </c>
      <c r="BQ34" s="75">
        <v>-0.79321634648800154</v>
      </c>
      <c r="BR34" s="75">
        <v>-0.59845588459128685</v>
      </c>
      <c r="BS34" s="75">
        <v>-0.38533531940725396</v>
      </c>
      <c r="BT34" s="75">
        <v>-0.33326028602533864</v>
      </c>
      <c r="BU34" s="75">
        <v>-8.3831793122346454E-2</v>
      </c>
      <c r="BV34" s="75">
        <v>-0.40136665181380593</v>
      </c>
      <c r="BW34" s="75">
        <v>-1.1591154599132625</v>
      </c>
      <c r="BX34" s="75">
        <v>-0.80240899219800044</v>
      </c>
      <c r="BY34" s="75">
        <v>-0.8752428498879028</v>
      </c>
      <c r="BZ34" s="75">
        <v>-0.93757764553165091</v>
      </c>
      <c r="CA34" s="75">
        <v>-0.97224263164839009</v>
      </c>
      <c r="CB34" s="75">
        <v>-1.1760953141077946</v>
      </c>
      <c r="CC34" s="75">
        <v>-1.0511215629177229</v>
      </c>
      <c r="CD34" s="75">
        <v>-1.0877696249973812</v>
      </c>
      <c r="CE34" s="75">
        <v>-0.20094630075279118</v>
      </c>
      <c r="CF34" s="75">
        <v>-0.35849097317065537</v>
      </c>
      <c r="CG34" s="75">
        <v>-0.63720819789730987</v>
      </c>
      <c r="CH34" s="75">
        <v>-0.532135943383516</v>
      </c>
      <c r="CI34" s="75">
        <v>0.23202343595996044</v>
      </c>
      <c r="CJ34" s="75">
        <v>0.27951544288966623</v>
      </c>
      <c r="CK34" s="75">
        <v>0.2622962327014644</v>
      </c>
      <c r="CL34" s="75">
        <v>0.33417409294720368</v>
      </c>
      <c r="CM34" s="75">
        <v>0.19478999433100164</v>
      </c>
      <c r="CN34" s="75">
        <v>3.7650183828330519E-2</v>
      </c>
      <c r="CO34" s="75">
        <v>2.7054744925258944E-2</v>
      </c>
      <c r="CP34" s="75">
        <v>0.38658657050776313</v>
      </c>
      <c r="CQ34" s="75">
        <v>-0.48665566328242038</v>
      </c>
      <c r="CR34" s="75">
        <v>-0.4363174962080163</v>
      </c>
      <c r="CS34" s="75">
        <v>-0.35838479408412116</v>
      </c>
      <c r="CT34" s="75">
        <v>0.21198280363712296</v>
      </c>
    </row>
    <row r="35" spans="1:98" ht="15.5" x14ac:dyDescent="0.35">
      <c r="A35" s="88"/>
      <c r="B35" s="43"/>
      <c r="C35" s="31" t="s">
        <v>104</v>
      </c>
      <c r="D35" s="40" t="s">
        <v>94</v>
      </c>
      <c r="E35" s="102">
        <f>VLOOKUP(C35,[1]CLASSI_EAI!A:G,7,FALSE)</f>
        <v>6.2217942770463699</v>
      </c>
      <c r="F35" s="76">
        <v>6.5772178825472594</v>
      </c>
      <c r="G35" s="76">
        <v>6.5772178825472594</v>
      </c>
      <c r="H35" s="76">
        <v>6.5772178825472594</v>
      </c>
      <c r="I35" s="76">
        <v>13.053663224429179</v>
      </c>
      <c r="J35" s="76">
        <v>13.053663224429179</v>
      </c>
      <c r="K35" s="76">
        <v>11.559049176707802</v>
      </c>
      <c r="L35" s="76">
        <v>11.559049176707802</v>
      </c>
      <c r="M35" s="76">
        <v>11.559049176707802</v>
      </c>
      <c r="N35" s="76">
        <v>11.559049176707802</v>
      </c>
      <c r="O35" s="76">
        <v>11.559049176707802</v>
      </c>
      <c r="P35" s="76">
        <v>11.559049176707802</v>
      </c>
      <c r="Q35" s="76">
        <v>6.0767633745321126</v>
      </c>
      <c r="R35" s="76">
        <v>6.0767633745321126</v>
      </c>
      <c r="S35" s="76">
        <v>6.0767633745321126</v>
      </c>
      <c r="T35" s="76">
        <v>6.0767633745321126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  <c r="AL35" s="76">
        <v>0</v>
      </c>
      <c r="AM35" s="76">
        <v>0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v>0</v>
      </c>
      <c r="AY35" s="76">
        <v>4.152715844578081</v>
      </c>
      <c r="AZ35" s="76">
        <v>4.152715844578081</v>
      </c>
      <c r="BA35" s="76">
        <v>4.152715844578081</v>
      </c>
      <c r="BB35" s="76">
        <v>4.152715844578081</v>
      </c>
      <c r="BC35" s="76">
        <v>4.152715844578081</v>
      </c>
      <c r="BD35" s="76">
        <v>8.4254878218490212</v>
      </c>
      <c r="BE35" s="76">
        <v>8.4254878218490212</v>
      </c>
      <c r="BF35" s="76">
        <v>8.4254878218490212</v>
      </c>
      <c r="BG35" s="76">
        <v>8.4254878218490212</v>
      </c>
      <c r="BH35" s="76">
        <v>8.4254878218490212</v>
      </c>
      <c r="BI35" s="76">
        <v>8.4254878218490212</v>
      </c>
      <c r="BJ35" s="76">
        <v>8.4254878218490212</v>
      </c>
      <c r="BK35" s="76">
        <v>4.1024105253741006</v>
      </c>
      <c r="BL35" s="76">
        <v>4.1024105253741006</v>
      </c>
      <c r="BM35" s="76">
        <v>4.1024105253741006</v>
      </c>
      <c r="BN35" s="76">
        <v>4.1024105253741006</v>
      </c>
      <c r="BO35" s="76">
        <v>4.1024105253741006</v>
      </c>
      <c r="BP35" s="76">
        <v>0</v>
      </c>
      <c r="BQ35" s="76">
        <v>0</v>
      </c>
      <c r="BR35" s="76">
        <v>0</v>
      </c>
      <c r="BS35" s="76">
        <v>0</v>
      </c>
      <c r="BT35" s="76">
        <v>0</v>
      </c>
      <c r="BU35" s="76">
        <v>0.57659655123336595</v>
      </c>
      <c r="BV35" s="76">
        <v>0.57659655123336595</v>
      </c>
      <c r="BW35" s="76">
        <v>0.57659655123336595</v>
      </c>
      <c r="BX35" s="76">
        <v>0.57659655123336595</v>
      </c>
      <c r="BY35" s="76">
        <v>0.57659655123336595</v>
      </c>
      <c r="BZ35" s="76">
        <v>0.57659655123336595</v>
      </c>
      <c r="CA35" s="76">
        <v>0.57659655123336595</v>
      </c>
      <c r="CB35" s="76">
        <v>3.7709760558257033</v>
      </c>
      <c r="CC35" s="76">
        <v>3.7709760558257033</v>
      </c>
      <c r="CD35" s="76">
        <v>3.7709760558257033</v>
      </c>
      <c r="CE35" s="76">
        <v>1.8591545784895525</v>
      </c>
      <c r="CF35" s="76">
        <v>1.8591545784895525</v>
      </c>
      <c r="CG35" s="76">
        <v>1.2752052378336876</v>
      </c>
      <c r="CH35" s="76">
        <v>1.2752052378336876</v>
      </c>
      <c r="CI35" s="76">
        <v>1.2752052378336876</v>
      </c>
      <c r="CJ35" s="76">
        <v>-0.12489634784508263</v>
      </c>
      <c r="CK35" s="76">
        <v>-0.12489634784508263</v>
      </c>
      <c r="CL35" s="76">
        <v>0.80512976120892255</v>
      </c>
      <c r="CM35" s="76">
        <v>0.80512976120892255</v>
      </c>
      <c r="CN35" s="76">
        <v>-2.2979521669570513</v>
      </c>
      <c r="CO35" s="76">
        <v>-2.2979521669570513</v>
      </c>
      <c r="CP35" s="76">
        <v>-2.2979521669570513</v>
      </c>
      <c r="CQ35" s="76">
        <v>-0.46415652826460319</v>
      </c>
      <c r="CR35" s="76">
        <v>0.26019565147752388</v>
      </c>
      <c r="CS35" s="76">
        <v>0.26019565147752388</v>
      </c>
      <c r="CT35" s="76">
        <v>0.26019565147752388</v>
      </c>
    </row>
    <row r="36" spans="1:98" ht="15.5" x14ac:dyDescent="0.35">
      <c r="A36" s="83">
        <v>18</v>
      </c>
      <c r="B36" s="27"/>
      <c r="C36" s="27"/>
      <c r="D36" s="29" t="s">
        <v>20</v>
      </c>
      <c r="E36" s="104">
        <f>E37</f>
        <v>12.4497277597767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0.41464337288368291</v>
      </c>
      <c r="AW36" s="91">
        <v>0.41464337288368291</v>
      </c>
      <c r="AX36" s="91">
        <v>0.41464337288368291</v>
      </c>
      <c r="AY36" s="91">
        <v>0.41464337288368291</v>
      </c>
      <c r="AZ36" s="91">
        <v>0.41464337288368291</v>
      </c>
      <c r="BA36" s="91">
        <v>0.41464337288368291</v>
      </c>
      <c r="BB36" s="91">
        <v>0.41464337288368291</v>
      </c>
      <c r="BC36" s="91">
        <v>0.41464337288368291</v>
      </c>
      <c r="BD36" s="91">
        <v>0.41464337288368291</v>
      </c>
      <c r="BE36" s="91">
        <v>0.41464337288368291</v>
      </c>
      <c r="BF36" s="91">
        <v>0.41464337288368291</v>
      </c>
      <c r="BG36" s="91">
        <v>0.41464337288368291</v>
      </c>
      <c r="BH36" s="91">
        <v>0</v>
      </c>
      <c r="BI36" s="91">
        <v>2.2451317314181596</v>
      </c>
      <c r="BJ36" s="91">
        <v>2.2451317314181596</v>
      </c>
      <c r="BK36" s="91">
        <v>2.8261416218911872</v>
      </c>
      <c r="BL36" s="91">
        <v>2.8261416218911872</v>
      </c>
      <c r="BM36" s="91">
        <v>2.8261416218911872</v>
      </c>
      <c r="BN36" s="91">
        <v>3.0328142994459073</v>
      </c>
      <c r="BO36" s="91">
        <v>3.0328142994459073</v>
      </c>
      <c r="BP36" s="91">
        <v>3.0328142994459073</v>
      </c>
      <c r="BQ36" s="91">
        <v>3.0328142994459073</v>
      </c>
      <c r="BR36" s="91">
        <v>3.0328142994459073</v>
      </c>
      <c r="BS36" s="91">
        <v>3.0328142994459073</v>
      </c>
      <c r="BT36" s="91">
        <v>5.4407618224856513</v>
      </c>
      <c r="BU36" s="91">
        <v>3.2048234691519406</v>
      </c>
      <c r="BV36" s="91">
        <v>5.5746135216861781</v>
      </c>
      <c r="BW36" s="91">
        <v>4.9780736372614154</v>
      </c>
      <c r="BX36" s="91">
        <v>4.9780736372614154</v>
      </c>
      <c r="BY36" s="91">
        <v>4.6694123937519372</v>
      </c>
      <c r="BZ36" s="91">
        <v>4.4594568774964261</v>
      </c>
      <c r="CA36" s="91">
        <v>4.4594568774964261</v>
      </c>
      <c r="CB36" s="91">
        <v>4.4594568774964261</v>
      </c>
      <c r="CC36" s="91">
        <v>4.4594568774964261</v>
      </c>
      <c r="CD36" s="91">
        <v>4.4594568774964261</v>
      </c>
      <c r="CE36" s="91">
        <v>4.4594568774964261</v>
      </c>
      <c r="CF36" s="91">
        <v>2.0739193861255778</v>
      </c>
      <c r="CG36" s="91">
        <v>2.0995695376914369</v>
      </c>
      <c r="CH36" s="91">
        <v>-0.19221762768377726</v>
      </c>
      <c r="CI36" s="91">
        <v>-0.19221762768377726</v>
      </c>
      <c r="CJ36" s="91">
        <v>-0.19221762768377726</v>
      </c>
      <c r="CK36" s="91">
        <v>0.1021070801217272</v>
      </c>
      <c r="CL36" s="91">
        <v>0.1021070801217272</v>
      </c>
      <c r="CM36" s="91">
        <v>0.1021070801217272</v>
      </c>
      <c r="CN36" s="91">
        <v>0.10208471241279771</v>
      </c>
      <c r="CO36" s="91">
        <v>1.1317738434302171E-2</v>
      </c>
      <c r="CP36" s="91">
        <v>1.1317738434302171E-2</v>
      </c>
      <c r="CQ36" s="91">
        <v>1.1317738434302171E-2</v>
      </c>
      <c r="CR36" s="91">
        <v>0.59969823277157275</v>
      </c>
      <c r="CS36" s="91">
        <v>0.71016239092644984</v>
      </c>
      <c r="CT36" s="91">
        <v>2.0050065268799377</v>
      </c>
    </row>
    <row r="37" spans="1:98" ht="15.5" x14ac:dyDescent="0.35">
      <c r="A37" s="88"/>
      <c r="B37" s="35">
        <v>181</v>
      </c>
      <c r="C37" s="31" t="s">
        <v>106</v>
      </c>
      <c r="D37" s="56" t="s">
        <v>107</v>
      </c>
      <c r="E37" s="102">
        <f>VLOOKUP(C37,[1]CLASSI_EAI!A:G,7,FALSE)</f>
        <v>12.4497277597767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v>0</v>
      </c>
      <c r="AV37" s="73">
        <v>0.41464337288368291</v>
      </c>
      <c r="AW37" s="73">
        <v>0.41464337288368291</v>
      </c>
      <c r="AX37" s="73">
        <v>0.41464337288368291</v>
      </c>
      <c r="AY37" s="73">
        <v>0.41464337288368291</v>
      </c>
      <c r="AZ37" s="73">
        <v>0.41464337288368291</v>
      </c>
      <c r="BA37" s="73">
        <v>0.41464337288368291</v>
      </c>
      <c r="BB37" s="73">
        <v>0.41464337288368291</v>
      </c>
      <c r="BC37" s="73">
        <v>0.41464337288368291</v>
      </c>
      <c r="BD37" s="73">
        <v>0.41464337288368291</v>
      </c>
      <c r="BE37" s="73">
        <v>0.41464337288368291</v>
      </c>
      <c r="BF37" s="73">
        <v>0.41464337288368291</v>
      </c>
      <c r="BG37" s="73">
        <v>0.41464337288368291</v>
      </c>
      <c r="BH37" s="73">
        <v>0</v>
      </c>
      <c r="BI37" s="73">
        <v>2.2451317314181596</v>
      </c>
      <c r="BJ37" s="73">
        <v>2.2451317314181596</v>
      </c>
      <c r="BK37" s="73">
        <v>2.8261416218911872</v>
      </c>
      <c r="BL37" s="73">
        <v>2.8261416218911872</v>
      </c>
      <c r="BM37" s="73">
        <v>2.8261416218911872</v>
      </c>
      <c r="BN37" s="73">
        <v>3.0328142994459073</v>
      </c>
      <c r="BO37" s="73">
        <v>3.0328142994459073</v>
      </c>
      <c r="BP37" s="73">
        <v>3.0328142994459073</v>
      </c>
      <c r="BQ37" s="73">
        <v>3.0328142994459073</v>
      </c>
      <c r="BR37" s="73">
        <v>3.0328142994459073</v>
      </c>
      <c r="BS37" s="73">
        <v>3.0328142994459073</v>
      </c>
      <c r="BT37" s="73">
        <v>5.4407618224856513</v>
      </c>
      <c r="BU37" s="73">
        <v>3.2048234691519406</v>
      </c>
      <c r="BV37" s="73">
        <v>5.5746135216861781</v>
      </c>
      <c r="BW37" s="73">
        <v>4.9780736372614154</v>
      </c>
      <c r="BX37" s="73">
        <v>4.9780736372614154</v>
      </c>
      <c r="BY37" s="73">
        <v>4.6694123937519372</v>
      </c>
      <c r="BZ37" s="73">
        <v>4.4594568774964261</v>
      </c>
      <c r="CA37" s="73">
        <v>4.4594568774964261</v>
      </c>
      <c r="CB37" s="73">
        <v>4.4594568774964261</v>
      </c>
      <c r="CC37" s="73">
        <v>4.4594568774964261</v>
      </c>
      <c r="CD37" s="73">
        <v>4.4594568774964261</v>
      </c>
      <c r="CE37" s="73">
        <v>4.4594568774964261</v>
      </c>
      <c r="CF37" s="73">
        <v>2.0739193861255778</v>
      </c>
      <c r="CG37" s="73">
        <v>2.0995695376914369</v>
      </c>
      <c r="CH37" s="73">
        <v>-0.19221762768377726</v>
      </c>
      <c r="CI37" s="73">
        <v>-0.19221762768377726</v>
      </c>
      <c r="CJ37" s="73">
        <v>-0.19221762768377726</v>
      </c>
      <c r="CK37" s="73">
        <v>0.1021070801217272</v>
      </c>
      <c r="CL37" s="73">
        <v>0.1021070801217272</v>
      </c>
      <c r="CM37" s="73">
        <v>0.1021070801217272</v>
      </c>
      <c r="CN37" s="73">
        <v>0.10208471241279771</v>
      </c>
      <c r="CO37" s="73">
        <v>1.1317738434302171E-2</v>
      </c>
      <c r="CP37" s="73">
        <v>1.1317738434302171E-2</v>
      </c>
      <c r="CQ37" s="73">
        <v>1.1317738434302171E-2</v>
      </c>
      <c r="CR37" s="73">
        <v>0.59969823277157275</v>
      </c>
      <c r="CS37" s="73">
        <v>0.71016239092644984</v>
      </c>
      <c r="CT37" s="73">
        <v>2.0050065268799377</v>
      </c>
    </row>
    <row r="38" spans="1:98" ht="15.5" x14ac:dyDescent="0.35">
      <c r="A38" s="83">
        <v>20</v>
      </c>
      <c r="B38" s="44"/>
      <c r="C38" s="44"/>
      <c r="D38" s="45" t="s">
        <v>21</v>
      </c>
      <c r="E38" s="101">
        <f>E39+E40+E41</f>
        <v>36.487690063799683</v>
      </c>
      <c r="F38" s="70">
        <v>3.2010764562032445</v>
      </c>
      <c r="G38" s="70">
        <v>4.6401622808487586</v>
      </c>
      <c r="H38" s="70">
        <v>5.1803777577677179</v>
      </c>
      <c r="I38" s="70">
        <v>5.3622131414857943</v>
      </c>
      <c r="J38" s="70">
        <v>3.4073511154352198</v>
      </c>
      <c r="K38" s="70">
        <v>3.5748298523626154</v>
      </c>
      <c r="L38" s="70">
        <v>5.1494184898358997</v>
      </c>
      <c r="M38" s="70">
        <v>5.1870567928169242</v>
      </c>
      <c r="N38" s="70">
        <v>5.4572557636558994</v>
      </c>
      <c r="O38" s="70">
        <v>3.7872662839717464</v>
      </c>
      <c r="P38" s="70">
        <v>3.8652266127823465</v>
      </c>
      <c r="Q38" s="70">
        <v>3.5638338855335627</v>
      </c>
      <c r="R38" s="70">
        <v>3.4387405100698931</v>
      </c>
      <c r="S38" s="70">
        <v>-0.94905346588975981</v>
      </c>
      <c r="T38" s="70">
        <v>-1.2508836774347332</v>
      </c>
      <c r="U38" s="70">
        <v>-4.6020405658363401</v>
      </c>
      <c r="V38" s="70">
        <v>-2.9355381467952135</v>
      </c>
      <c r="W38" s="70">
        <v>-3.0226519982587852</v>
      </c>
      <c r="X38" s="70">
        <v>-2.2393736198956793</v>
      </c>
      <c r="Y38" s="70">
        <v>-3.134669069528373</v>
      </c>
      <c r="Z38" s="70">
        <v>-3.3045809054382147</v>
      </c>
      <c r="AA38" s="70">
        <v>-5.3245974550046533</v>
      </c>
      <c r="AB38" s="70">
        <v>-4.9379197975586209</v>
      </c>
      <c r="AC38" s="70">
        <v>-4.6785782920664936</v>
      </c>
      <c r="AD38" s="70">
        <v>-4.2190474974476029</v>
      </c>
      <c r="AE38" s="70">
        <v>-1.4579960093657696</v>
      </c>
      <c r="AF38" s="70">
        <v>-1.7180023119075294</v>
      </c>
      <c r="AG38" s="70">
        <v>1.4847932357624716</v>
      </c>
      <c r="AH38" s="70">
        <v>2.0700242832198734</v>
      </c>
      <c r="AI38" s="70">
        <v>3.0642204074863733</v>
      </c>
      <c r="AJ38" s="70">
        <v>1.9553568838703184</v>
      </c>
      <c r="AK38" s="70">
        <v>4.3591048704259672</v>
      </c>
      <c r="AL38" s="70">
        <v>6.7815452479121685</v>
      </c>
      <c r="AM38" s="70">
        <v>7.1432075729150446</v>
      </c>
      <c r="AN38" s="70">
        <v>7.8818796401344926</v>
      </c>
      <c r="AO38" s="70">
        <v>8.1078077051198516</v>
      </c>
      <c r="AP38" s="70">
        <v>11.271157385304864</v>
      </c>
      <c r="AQ38" s="70">
        <v>11.438842555583362</v>
      </c>
      <c r="AR38" s="70">
        <v>13.071254709247437</v>
      </c>
      <c r="AS38" s="70">
        <v>14.04306152219943</v>
      </c>
      <c r="AT38" s="70">
        <v>19.409360651794771</v>
      </c>
      <c r="AU38" s="70">
        <v>18.645568539107018</v>
      </c>
      <c r="AV38" s="70">
        <v>26.552834502013422</v>
      </c>
      <c r="AW38" s="70">
        <v>27.828973573321814</v>
      </c>
      <c r="AX38" s="70">
        <v>29.088312239369539</v>
      </c>
      <c r="AY38" s="70">
        <v>32.706625211298281</v>
      </c>
      <c r="AZ38" s="70">
        <v>31.014747013879251</v>
      </c>
      <c r="BA38" s="70">
        <v>30.92981842491276</v>
      </c>
      <c r="BB38" s="70">
        <v>26.183174071271687</v>
      </c>
      <c r="BC38" s="70">
        <v>26.270085756124971</v>
      </c>
      <c r="BD38" s="70">
        <v>21.790193364365386</v>
      </c>
      <c r="BE38" s="70">
        <v>19.436620845107111</v>
      </c>
      <c r="BF38" s="70">
        <v>13.459353830963551</v>
      </c>
      <c r="BG38" s="70">
        <v>13.92672204282437</v>
      </c>
      <c r="BH38" s="70">
        <v>6.5160575480764482</v>
      </c>
      <c r="BI38" s="70">
        <v>4.0614945728751461</v>
      </c>
      <c r="BJ38" s="70">
        <v>0.66813871063233776</v>
      </c>
      <c r="BK38" s="70">
        <v>-2.5010595886429954</v>
      </c>
      <c r="BL38" s="70">
        <v>-2.0803535989027622</v>
      </c>
      <c r="BM38" s="70">
        <v>-3.3237030795662981</v>
      </c>
      <c r="BN38" s="70">
        <v>-3.0235962601636635</v>
      </c>
      <c r="BO38" s="70">
        <v>-3.1154242235725604</v>
      </c>
      <c r="BP38" s="70">
        <v>-1.0698801135083369</v>
      </c>
      <c r="BQ38" s="70">
        <v>0.14961801075219494</v>
      </c>
      <c r="BR38" s="70">
        <v>0.12017699570927576</v>
      </c>
      <c r="BS38" s="70">
        <v>-0.70385889797496271</v>
      </c>
      <c r="BT38" s="70">
        <v>-1.5430455347543726</v>
      </c>
      <c r="BU38" s="70">
        <v>-2.6005217851479356</v>
      </c>
      <c r="BV38" s="70">
        <v>-2.5393812065377053</v>
      </c>
      <c r="BW38" s="70">
        <v>-2.2806537826273399</v>
      </c>
      <c r="BX38" s="70">
        <v>-2.3830865775273047</v>
      </c>
      <c r="BY38" s="70">
        <v>-1.4519993054689095</v>
      </c>
      <c r="BZ38" s="70">
        <v>-1.4270753204250974</v>
      </c>
      <c r="CA38" s="70">
        <v>-1.4270753204250974</v>
      </c>
      <c r="CB38" s="70">
        <v>-2.5355850572520877</v>
      </c>
      <c r="CC38" s="70">
        <v>-2.4063267475945449</v>
      </c>
      <c r="CD38" s="70">
        <v>-2.4063267475945449</v>
      </c>
      <c r="CE38" s="70">
        <v>-2.4089267705063921</v>
      </c>
      <c r="CF38" s="70">
        <v>-0.69896918967663479</v>
      </c>
      <c r="CG38" s="70">
        <v>-5.4528001162013062E-2</v>
      </c>
      <c r="CH38" s="70">
        <v>-8.0465421961284367E-2</v>
      </c>
      <c r="CI38" s="70">
        <v>0.10386682287724103</v>
      </c>
      <c r="CJ38" s="70">
        <v>-6.7913526146612391E-2</v>
      </c>
      <c r="CK38" s="70">
        <v>-0.62352420925699814</v>
      </c>
      <c r="CL38" s="70">
        <v>-1.1770616998723393</v>
      </c>
      <c r="CM38" s="70">
        <v>-1.1770616998723393</v>
      </c>
      <c r="CN38" s="70">
        <v>0.4397447698269108</v>
      </c>
      <c r="CO38" s="70">
        <v>0.30671696998372244</v>
      </c>
      <c r="CP38" s="70">
        <v>0.30671696998372244</v>
      </c>
      <c r="CQ38" s="70">
        <v>-2.0373800153528077E-2</v>
      </c>
      <c r="CR38" s="70">
        <v>-0.59154119987151477</v>
      </c>
      <c r="CS38" s="70">
        <v>-0.63830178055911402</v>
      </c>
      <c r="CT38" s="70">
        <v>-0.37763743853027609</v>
      </c>
    </row>
    <row r="39" spans="1:98" ht="15.5" x14ac:dyDescent="0.35">
      <c r="A39" s="88"/>
      <c r="B39" s="43">
        <v>202</v>
      </c>
      <c r="C39" s="31" t="s">
        <v>110</v>
      </c>
      <c r="D39" s="40" t="s">
        <v>98</v>
      </c>
      <c r="E39" s="102">
        <f>VLOOKUP(C39,[1]CLASSI_EAI!A:G,7,FALSE)</f>
        <v>7.9440368859783304</v>
      </c>
      <c r="F39" s="76">
        <v>0</v>
      </c>
      <c r="G39" s="76">
        <v>0</v>
      </c>
      <c r="H39" s="76">
        <v>0</v>
      </c>
      <c r="I39" s="76">
        <v>1.3013932785773896</v>
      </c>
      <c r="J39" s="76">
        <v>-3.5576435080223567</v>
      </c>
      <c r="K39" s="76">
        <v>-3.5576435080223567</v>
      </c>
      <c r="L39" s="76">
        <v>-3.5576435080223567</v>
      </c>
      <c r="M39" s="76">
        <v>-3.5576435080223567</v>
      </c>
      <c r="N39" s="76">
        <v>-3.5576435080223567</v>
      </c>
      <c r="O39" s="76">
        <v>-3.5576435080223567</v>
      </c>
      <c r="P39" s="76">
        <v>-3.5576435080223567</v>
      </c>
      <c r="Q39" s="76">
        <v>-3.5576435080223567</v>
      </c>
      <c r="R39" s="76">
        <v>-3.5576435080223567</v>
      </c>
      <c r="S39" s="76">
        <v>-3.5576435080223567</v>
      </c>
      <c r="T39" s="76">
        <v>-3.5576435080223567</v>
      </c>
      <c r="U39" s="76">
        <v>-4.796613974733277</v>
      </c>
      <c r="V39" s="76">
        <v>0</v>
      </c>
      <c r="W39" s="76">
        <v>0</v>
      </c>
      <c r="X39" s="76">
        <v>5.907715510561018</v>
      </c>
      <c r="Y39" s="76">
        <v>5.907715510561018</v>
      </c>
      <c r="Z39" s="76">
        <v>5.907715510561018</v>
      </c>
      <c r="AA39" s="76">
        <v>5.907715510561018</v>
      </c>
      <c r="AB39" s="76">
        <v>5.907715510561018</v>
      </c>
      <c r="AC39" s="76">
        <v>5.907715510561018</v>
      </c>
      <c r="AD39" s="76">
        <v>5.907715510561018</v>
      </c>
      <c r="AE39" s="76">
        <v>5.907715510561018</v>
      </c>
      <c r="AF39" s="76">
        <v>5.907715510561018</v>
      </c>
      <c r="AG39" s="76">
        <v>5.907715510561018</v>
      </c>
      <c r="AH39" s="76">
        <v>5.907715510561018</v>
      </c>
      <c r="AI39" s="76">
        <v>5.907715510561018</v>
      </c>
      <c r="AJ39" s="76">
        <v>-1.3157067694611002</v>
      </c>
      <c r="AK39" s="76">
        <v>-1.3157067694611002</v>
      </c>
      <c r="AL39" s="76">
        <v>-1.3157067694611002</v>
      </c>
      <c r="AM39" s="76">
        <v>-1.3157067694611002</v>
      </c>
      <c r="AN39" s="76">
        <v>-1.3157067694611002</v>
      </c>
      <c r="AO39" s="76">
        <v>-1.3157067694611002</v>
      </c>
      <c r="AP39" s="76">
        <v>1.1011334040234244</v>
      </c>
      <c r="AQ39" s="76">
        <v>1.1011334040234244</v>
      </c>
      <c r="AR39" s="76">
        <v>2.8608606402469983</v>
      </c>
      <c r="AS39" s="76">
        <v>3.5492197201859588</v>
      </c>
      <c r="AT39" s="76">
        <v>5.4768186835615351</v>
      </c>
      <c r="AU39" s="76">
        <v>5.4768186835615351</v>
      </c>
      <c r="AV39" s="76">
        <v>6.8830866905581933</v>
      </c>
      <c r="AW39" s="76">
        <v>6.8830866905581933</v>
      </c>
      <c r="AX39" s="76">
        <v>7.6862866889249926</v>
      </c>
      <c r="AY39" s="76">
        <v>10.190728138477322</v>
      </c>
      <c r="AZ39" s="76">
        <v>11.597714393263603</v>
      </c>
      <c r="BA39" s="76">
        <v>13.761789840240191</v>
      </c>
      <c r="BB39" s="76">
        <v>10.918422397498517</v>
      </c>
      <c r="BC39" s="76">
        <v>11.202006574999078</v>
      </c>
      <c r="BD39" s="76">
        <v>9.2995803413985065</v>
      </c>
      <c r="BE39" s="76">
        <v>8.3839705262928721</v>
      </c>
      <c r="BF39" s="76">
        <v>6.5783905399330322</v>
      </c>
      <c r="BG39" s="76">
        <v>6.5783905399330322</v>
      </c>
      <c r="BH39" s="76">
        <v>6.5783905399330322</v>
      </c>
      <c r="BI39" s="76">
        <v>6.5783905399330322</v>
      </c>
      <c r="BJ39" s="76">
        <v>5.7834540095752285</v>
      </c>
      <c r="BK39" s="76">
        <v>4.0764414162639317</v>
      </c>
      <c r="BL39" s="76">
        <v>4.3579703723472196</v>
      </c>
      <c r="BM39" s="76">
        <v>1.704055866205989</v>
      </c>
      <c r="BN39" s="76">
        <v>1.6757353344503789</v>
      </c>
      <c r="BO39" s="76">
        <v>1.4164447814769554</v>
      </c>
      <c r="BP39" s="76">
        <v>1.4164447814769554</v>
      </c>
      <c r="BQ39" s="76">
        <v>1.5933175873299676</v>
      </c>
      <c r="BR39" s="76">
        <v>1.4263624384673435</v>
      </c>
      <c r="BS39" s="76">
        <v>1.4263624384673435</v>
      </c>
      <c r="BT39" s="76">
        <v>1.4263624384673435</v>
      </c>
      <c r="BU39" s="76">
        <v>1.4263624384673435</v>
      </c>
      <c r="BV39" s="76">
        <v>1.4263624384673435</v>
      </c>
      <c r="BW39" s="76">
        <v>0.74685735416237797</v>
      </c>
      <c r="BX39" s="76">
        <v>-0.79168553408550668</v>
      </c>
      <c r="BY39" s="76">
        <v>-0.13936891573930188</v>
      </c>
      <c r="BZ39" s="76">
        <v>0</v>
      </c>
      <c r="CA39" s="76">
        <v>0</v>
      </c>
      <c r="CB39" s="76">
        <v>-9.9408583412397E-3</v>
      </c>
      <c r="CC39" s="76">
        <v>-9.9408583412397E-3</v>
      </c>
      <c r="CD39" s="76">
        <v>-9.9408583412397E-3</v>
      </c>
      <c r="CE39" s="76">
        <v>-1.2285017731516468</v>
      </c>
      <c r="CF39" s="76">
        <v>-1.9447183105073096</v>
      </c>
      <c r="CG39" s="76">
        <v>-1.9447183105073096</v>
      </c>
      <c r="CH39" s="76">
        <v>-1.2329878883554191</v>
      </c>
      <c r="CI39" s="76">
        <v>-1.4403615080825216</v>
      </c>
      <c r="CJ39" s="76">
        <v>-1.4403615080825216</v>
      </c>
      <c r="CK39" s="76">
        <v>-1.4403615080825216</v>
      </c>
      <c r="CL39" s="76">
        <v>-1.4403615080825216</v>
      </c>
      <c r="CM39" s="76">
        <v>-1.4403615080825216</v>
      </c>
      <c r="CN39" s="76">
        <v>-1.4305628599686759</v>
      </c>
      <c r="CO39" s="76">
        <v>-1.4305628599686759</v>
      </c>
      <c r="CP39" s="76">
        <v>-1.4305628599686759</v>
      </c>
      <c r="CQ39" s="76">
        <v>-0.22223342036805649</v>
      </c>
      <c r="CR39" s="76">
        <v>0.51435964869481765</v>
      </c>
      <c r="CS39" s="76">
        <v>0.51435964869481765</v>
      </c>
      <c r="CT39" s="76">
        <v>-0.20996243107231916</v>
      </c>
    </row>
    <row r="40" spans="1:98" ht="15.5" x14ac:dyDescent="0.35">
      <c r="A40" s="88"/>
      <c r="B40" s="43"/>
      <c r="C40" s="31" t="s">
        <v>111</v>
      </c>
      <c r="D40" s="40" t="s">
        <v>100</v>
      </c>
      <c r="E40" s="102">
        <f>VLOOKUP(C40,[1]CLASSI_EAI!A:G,7,FALSE)</f>
        <v>21.936329819094301</v>
      </c>
      <c r="F40" s="76">
        <v>5.3393553715596509</v>
      </c>
      <c r="G40" s="76">
        <v>5.9612117562017897</v>
      </c>
      <c r="H40" s="76">
        <v>6.8521983690186916</v>
      </c>
      <c r="I40" s="76">
        <v>6.6882567317688046</v>
      </c>
      <c r="J40" s="76">
        <v>5.1894503123535829</v>
      </c>
      <c r="K40" s="76">
        <v>5.4032284430698851</v>
      </c>
      <c r="L40" s="76">
        <v>8.0539341115898786</v>
      </c>
      <c r="M40" s="76">
        <v>8.0968132055793554</v>
      </c>
      <c r="N40" s="76">
        <v>8.5191056587854206</v>
      </c>
      <c r="O40" s="76">
        <v>2.6903825014385818</v>
      </c>
      <c r="P40" s="76">
        <v>2.8164566594645946</v>
      </c>
      <c r="Q40" s="76">
        <v>2.3303221199734159</v>
      </c>
      <c r="R40" s="76">
        <v>2.1295320710127408</v>
      </c>
      <c r="S40" s="76">
        <v>-3.383180602304825</v>
      </c>
      <c r="T40" s="76">
        <v>-3.8376308239106538</v>
      </c>
      <c r="U40" s="76">
        <v>-8.9068753396274847</v>
      </c>
      <c r="V40" s="76">
        <v>-7.8247936154399174</v>
      </c>
      <c r="W40" s="76">
        <v>-7.908529549422461</v>
      </c>
      <c r="X40" s="76">
        <v>-8.5344699013822467</v>
      </c>
      <c r="Y40" s="76">
        <v>-9.9389276003295493</v>
      </c>
      <c r="Z40" s="76">
        <v>-10.165618050035075</v>
      </c>
      <c r="AA40" s="76">
        <v>-10.690130362466622</v>
      </c>
      <c r="AB40" s="76">
        <v>-10.05176334293073</v>
      </c>
      <c r="AC40" s="76">
        <v>-9.632832042195993</v>
      </c>
      <c r="AD40" s="76">
        <v>-8.8779584426204039</v>
      </c>
      <c r="AE40" s="76">
        <v>-4.4575066183161098</v>
      </c>
      <c r="AF40" s="76">
        <v>-4.8758820634147266</v>
      </c>
      <c r="AG40" s="76">
        <v>0.44090361123192423</v>
      </c>
      <c r="AH40" s="76">
        <v>1.4430944913761179</v>
      </c>
      <c r="AI40" s="76">
        <v>3.1457961164484072</v>
      </c>
      <c r="AJ40" s="76">
        <v>3.8826921165626471</v>
      </c>
      <c r="AK40" s="76">
        <v>8.6635681651729293</v>
      </c>
      <c r="AL40" s="76">
        <v>12.878323614840248</v>
      </c>
      <c r="AM40" s="76">
        <v>14.315232612640937</v>
      </c>
      <c r="AN40" s="76">
        <v>15.542962507917824</v>
      </c>
      <c r="AO40" s="76">
        <v>15.910290111562952</v>
      </c>
      <c r="AP40" s="76">
        <v>20.409390920788706</v>
      </c>
      <c r="AQ40" s="76">
        <v>20.711531651407288</v>
      </c>
      <c r="AR40" s="76">
        <v>22.89094822284008</v>
      </c>
      <c r="AS40" s="76">
        <v>24.336379702742338</v>
      </c>
      <c r="AT40" s="76">
        <v>32.768220628443686</v>
      </c>
      <c r="AU40" s="76">
        <v>31.221626260973935</v>
      </c>
      <c r="AV40" s="76">
        <v>43.011261212295352</v>
      </c>
      <c r="AW40" s="76">
        <v>43.878400014700823</v>
      </c>
      <c r="AX40" s="76">
        <v>45.075256754899073</v>
      </c>
      <c r="AY40" s="76">
        <v>49.078103141162075</v>
      </c>
      <c r="AZ40" s="76">
        <v>45.582456458791867</v>
      </c>
      <c r="BA40" s="76">
        <v>44.657874692732278</v>
      </c>
      <c r="BB40" s="76">
        <v>37.478602958772143</v>
      </c>
      <c r="BC40" s="76">
        <v>37.430474894168398</v>
      </c>
      <c r="BD40" s="76">
        <v>30.742558950341483</v>
      </c>
      <c r="BE40" s="76">
        <v>27.234795528269039</v>
      </c>
      <c r="BF40" s="76">
        <v>17.996683019582772</v>
      </c>
      <c r="BG40" s="76">
        <v>16.091496458423606</v>
      </c>
      <c r="BH40" s="76">
        <v>5.5485342597825227</v>
      </c>
      <c r="BI40" s="76">
        <v>1.9415426112654233</v>
      </c>
      <c r="BJ40" s="76">
        <v>-2.7425413705668311</v>
      </c>
      <c r="BK40" s="76">
        <v>-6.4162037771666842</v>
      </c>
      <c r="BL40" s="76">
        <v>-5.913644101764759</v>
      </c>
      <c r="BM40" s="76">
        <v>-6.9799594042163289</v>
      </c>
      <c r="BN40" s="76">
        <v>-6.5484423324381531</v>
      </c>
      <c r="BO40" s="76">
        <v>-6.5484423324381531</v>
      </c>
      <c r="BP40" s="76">
        <v>-3.6248540882371949</v>
      </c>
      <c r="BQ40" s="76">
        <v>-1.8995703071971737</v>
      </c>
      <c r="BR40" s="76">
        <v>-1.8995703071971737</v>
      </c>
      <c r="BS40" s="76">
        <v>-0.92879076932598226</v>
      </c>
      <c r="BT40" s="76">
        <v>-2.034427607086664</v>
      </c>
      <c r="BU40" s="76">
        <v>-3.6347974160187757</v>
      </c>
      <c r="BV40" s="76">
        <v>-3.5420488140791906</v>
      </c>
      <c r="BW40" s="76">
        <v>-3.4080065183028307</v>
      </c>
      <c r="BX40" s="76">
        <v>-3.1536346451629171</v>
      </c>
      <c r="BY40" s="76">
        <v>-2.0434570887648329</v>
      </c>
      <c r="BZ40" s="76">
        <v>-2.0434570887648329</v>
      </c>
      <c r="CA40" s="76">
        <v>-2.0434570887648329</v>
      </c>
      <c r="CB40" s="76">
        <v>-3.726798100050055</v>
      </c>
      <c r="CC40" s="76">
        <v>-3.5301918072638272</v>
      </c>
      <c r="CD40" s="76">
        <v>-3.5301918072638272</v>
      </c>
      <c r="CE40" s="76">
        <v>-3.1982664606515554</v>
      </c>
      <c r="CF40" s="76">
        <v>-0.52323964452063443</v>
      </c>
      <c r="CG40" s="76">
        <v>0.46634486186016844</v>
      </c>
      <c r="CH40" s="76">
        <v>0.22501074348542094</v>
      </c>
      <c r="CI40" s="76">
        <v>0.56549010629154406</v>
      </c>
      <c r="CJ40" s="76">
        <v>0.30134976403042302</v>
      </c>
      <c r="CK40" s="76">
        <v>-0.5490707393689398</v>
      </c>
      <c r="CL40" s="76">
        <v>-1.396318003918029</v>
      </c>
      <c r="CM40" s="76">
        <v>-1.396318003918029</v>
      </c>
      <c r="CN40" s="76">
        <v>1.0866819131583272</v>
      </c>
      <c r="CO40" s="76">
        <v>0.88066639230954813</v>
      </c>
      <c r="CP40" s="76">
        <v>0.88066639230954813</v>
      </c>
      <c r="CQ40" s="76">
        <v>3.1260200907090585E-2</v>
      </c>
      <c r="CR40" s="76">
        <v>-1.044900438919405</v>
      </c>
      <c r="CS40" s="76">
        <v>-1.1155708586149893</v>
      </c>
      <c r="CT40" s="76">
        <v>-0.51860082658772289</v>
      </c>
    </row>
    <row r="41" spans="1:98" ht="15.5" x14ac:dyDescent="0.35">
      <c r="A41" s="88"/>
      <c r="B41" s="43"/>
      <c r="C41" s="31" t="s">
        <v>112</v>
      </c>
      <c r="D41" s="40" t="s">
        <v>101</v>
      </c>
      <c r="E41" s="102">
        <f>VLOOKUP(C41,[1]CLASSI_EAI!A:G,7,FALSE)</f>
        <v>6.6073233587270499</v>
      </c>
      <c r="F41" s="76">
        <v>-0.1193946695598358</v>
      </c>
      <c r="G41" s="76">
        <v>5.7973110268858097</v>
      </c>
      <c r="H41" s="76">
        <v>5.7992508969640921</v>
      </c>
      <c r="I41" s="76">
        <v>5.7992508969640921</v>
      </c>
      <c r="J41" s="76">
        <v>5.7992508969640921</v>
      </c>
      <c r="K41" s="76">
        <v>6.0112742720842771</v>
      </c>
      <c r="L41" s="76">
        <v>6.0681145554988936</v>
      </c>
      <c r="M41" s="76">
        <v>6.0681145554988936</v>
      </c>
      <c r="N41" s="76">
        <v>6.1658563503895314</v>
      </c>
      <c r="O41" s="76">
        <v>16.511674799525643</v>
      </c>
      <c r="P41" s="76">
        <v>16.511674799525643</v>
      </c>
      <c r="Q41" s="76">
        <v>16.511674799525643</v>
      </c>
      <c r="R41" s="76">
        <v>16.511674799525643</v>
      </c>
      <c r="S41" s="76">
        <v>10.217701843855442</v>
      </c>
      <c r="T41" s="76">
        <v>10.170659229863087</v>
      </c>
      <c r="U41" s="76">
        <v>10.219403387932836</v>
      </c>
      <c r="V41" s="76">
        <v>10.219403387932836</v>
      </c>
      <c r="W41" s="76">
        <v>10.043915287548355</v>
      </c>
      <c r="X41" s="76">
        <v>9.9849444332137605</v>
      </c>
      <c r="Y41" s="76">
        <v>9.9849444332137605</v>
      </c>
      <c r="Z41" s="76">
        <v>9.8836865877123934</v>
      </c>
      <c r="AA41" s="76">
        <v>0.12640969752666376</v>
      </c>
      <c r="AB41" s="76">
        <v>0.12640969752666376</v>
      </c>
      <c r="AC41" s="76">
        <v>0.12640969752666376</v>
      </c>
      <c r="AD41" s="76">
        <v>0.12640969752666376</v>
      </c>
      <c r="AE41" s="76">
        <v>4.4244228373035988E-2</v>
      </c>
      <c r="AF41" s="76">
        <v>4.4244228373035988E-2</v>
      </c>
      <c r="AG41" s="76">
        <v>0</v>
      </c>
      <c r="AH41" s="76">
        <v>0</v>
      </c>
      <c r="AI41" s="76">
        <v>0</v>
      </c>
      <c r="AJ41" s="76">
        <v>2.2329609856686083E-2</v>
      </c>
      <c r="AK41" s="76">
        <v>-1.5812474206771343</v>
      </c>
      <c r="AL41" s="76">
        <v>-1.5812474206771343</v>
      </c>
      <c r="AM41" s="76">
        <v>-3.79352008833439</v>
      </c>
      <c r="AN41" s="76">
        <v>-3.79352008833439</v>
      </c>
      <c r="AO41" s="76">
        <v>-3.79352008833439</v>
      </c>
      <c r="AP41" s="76">
        <v>-3.79352008833439</v>
      </c>
      <c r="AQ41" s="76">
        <v>-3.7720375567132591</v>
      </c>
      <c r="AR41" s="76">
        <v>-3.8482969509229248</v>
      </c>
      <c r="AS41" s="76">
        <v>-3.8482969509229248</v>
      </c>
      <c r="AT41" s="76">
        <v>-3.8482969509229248</v>
      </c>
      <c r="AU41" s="76">
        <v>-3.8482969509229248</v>
      </c>
      <c r="AV41" s="76">
        <v>-0.7340318587132022</v>
      </c>
      <c r="AW41" s="76">
        <v>0.88334920184001131</v>
      </c>
      <c r="AX41" s="76">
        <v>0.88334920184001131</v>
      </c>
      <c r="AY41" s="76">
        <v>3.203166705462146</v>
      </c>
      <c r="AZ41" s="76">
        <v>3.203166705462146</v>
      </c>
      <c r="BA41" s="76">
        <v>3.203166705462146</v>
      </c>
      <c r="BB41" s="76">
        <v>3.203166705462146</v>
      </c>
      <c r="BC41" s="76">
        <v>3.5403382437881437</v>
      </c>
      <c r="BD41" s="76">
        <v>3.6224576781855422</v>
      </c>
      <c r="BE41" s="76">
        <v>3.6224576781855422</v>
      </c>
      <c r="BF41" s="76">
        <v>3.6224576781855422</v>
      </c>
      <c r="BG41" s="76">
        <v>13.888235842433151</v>
      </c>
      <c r="BH41" s="76">
        <v>10.492785087172107</v>
      </c>
      <c r="BI41" s="76">
        <v>10.492198537371111</v>
      </c>
      <c r="BJ41" s="76">
        <v>10.492198537371111</v>
      </c>
      <c r="BK41" s="76">
        <v>8.5088496159879448</v>
      </c>
      <c r="BL41" s="76">
        <v>8.5088496159879448</v>
      </c>
      <c r="BM41" s="76">
        <v>7.9662092963957098</v>
      </c>
      <c r="BN41" s="76">
        <v>7.9662092963957098</v>
      </c>
      <c r="BO41" s="76">
        <v>7.590600671332326</v>
      </c>
      <c r="BP41" s="76">
        <v>7.590600671332326</v>
      </c>
      <c r="BQ41" s="76">
        <v>7.590600671332326</v>
      </c>
      <c r="BR41" s="76">
        <v>7.590600671332326</v>
      </c>
      <c r="BS41" s="76">
        <v>-2.1075145982566323</v>
      </c>
      <c r="BT41" s="76">
        <v>-2.7930263374219444</v>
      </c>
      <c r="BU41" s="76">
        <v>-2.7925103124734618</v>
      </c>
      <c r="BV41" s="76">
        <v>-2.7925103124734618</v>
      </c>
      <c r="BW41" s="76">
        <v>-1.0157301650069006</v>
      </c>
      <c r="BX41" s="76">
        <v>-1.0157301650069006</v>
      </c>
      <c r="BY41" s="76">
        <v>-0.51823325214958027</v>
      </c>
      <c r="BZ41" s="76">
        <v>-0.51823325214958027</v>
      </c>
      <c r="CA41" s="76">
        <v>-0.51823325214958027</v>
      </c>
      <c r="CB41" s="76">
        <v>-0.51823325214958027</v>
      </c>
      <c r="CC41" s="76">
        <v>-0.51823325214958027</v>
      </c>
      <c r="CD41" s="76">
        <v>-0.51823325214958027</v>
      </c>
      <c r="CE41" s="76">
        <v>-0.51823325214958027</v>
      </c>
      <c r="CF41" s="76">
        <v>0</v>
      </c>
      <c r="CG41" s="76">
        <v>0</v>
      </c>
      <c r="CH41" s="76">
        <v>0</v>
      </c>
      <c r="CI41" s="76">
        <v>0</v>
      </c>
      <c r="CJ41" s="76">
        <v>0</v>
      </c>
      <c r="CK41" s="76">
        <v>0</v>
      </c>
      <c r="CL41" s="76">
        <v>0</v>
      </c>
      <c r="CM41" s="76">
        <v>0</v>
      </c>
      <c r="CN41" s="76">
        <v>0</v>
      </c>
      <c r="CO41" s="76">
        <v>0</v>
      </c>
      <c r="CP41" s="76">
        <v>0</v>
      </c>
      <c r="CQ41" s="76">
        <v>0</v>
      </c>
      <c r="CR41" s="76">
        <v>0</v>
      </c>
      <c r="CS41" s="76">
        <v>0</v>
      </c>
      <c r="CT41" s="76">
        <v>0</v>
      </c>
    </row>
    <row r="42" spans="1:98" ht="15.5" x14ac:dyDescent="0.35">
      <c r="A42" s="83">
        <v>21</v>
      </c>
      <c r="B42" s="44"/>
      <c r="C42" s="44"/>
      <c r="D42" s="45" t="s">
        <v>22</v>
      </c>
      <c r="E42" s="103">
        <f>E43</f>
        <v>73.679830723938096</v>
      </c>
      <c r="F42" s="90">
        <v>3.4255966232988655</v>
      </c>
      <c r="G42" s="90">
        <v>3.5072137397928138</v>
      </c>
      <c r="H42" s="90">
        <v>6.0090859402776253</v>
      </c>
      <c r="I42" s="90">
        <v>5.5925735313638869</v>
      </c>
      <c r="J42" s="90">
        <v>5.3350035131336515</v>
      </c>
      <c r="K42" s="90">
        <v>4.3069126963560356</v>
      </c>
      <c r="L42" s="90">
        <v>4.4038342854475943</v>
      </c>
      <c r="M42" s="90">
        <v>4.5043095544699208</v>
      </c>
      <c r="N42" s="90">
        <v>5.3927221793286018</v>
      </c>
      <c r="O42" s="90">
        <v>5.578182939772347</v>
      </c>
      <c r="P42" s="90">
        <v>4.9706464908472414</v>
      </c>
      <c r="Q42" s="90">
        <v>2.6491461778869407</v>
      </c>
      <c r="R42" s="90">
        <v>1.7073510134745007</v>
      </c>
      <c r="S42" s="90">
        <v>1.6290870852394557</v>
      </c>
      <c r="T42" s="90">
        <v>-2.5999377123055445</v>
      </c>
      <c r="U42" s="90">
        <v>-1.642926141098533</v>
      </c>
      <c r="V42" s="90">
        <v>-0.89817204999038669</v>
      </c>
      <c r="W42" s="90">
        <v>-0.57911597647617441</v>
      </c>
      <c r="X42" s="90">
        <v>-0.41960712798572164</v>
      </c>
      <c r="Y42" s="90">
        <v>-0.12042318367324611</v>
      </c>
      <c r="Z42" s="90">
        <v>1.0910405671882284</v>
      </c>
      <c r="AA42" s="90">
        <v>1.8462518224157787</v>
      </c>
      <c r="AB42" s="90">
        <v>2.3208775679534943</v>
      </c>
      <c r="AC42" s="90">
        <v>7.0073347907314787</v>
      </c>
      <c r="AD42" s="90">
        <v>6.4110575508859569</v>
      </c>
      <c r="AE42" s="90">
        <v>6.040894901808902</v>
      </c>
      <c r="AF42" s="90">
        <v>8.1022866377923553</v>
      </c>
      <c r="AG42" s="90">
        <v>7.1064731705773765</v>
      </c>
      <c r="AH42" s="90">
        <v>6.4802366639135522</v>
      </c>
      <c r="AI42" s="90">
        <v>6.3340763928270594</v>
      </c>
      <c r="AJ42" s="90">
        <v>6.464295919146168</v>
      </c>
      <c r="AK42" s="90">
        <v>6.0430104322925615</v>
      </c>
      <c r="AL42" s="90">
        <v>3.4291937738195166</v>
      </c>
      <c r="AM42" s="90">
        <v>2.1387403449100617</v>
      </c>
      <c r="AN42" s="90">
        <v>0.96987221439237548</v>
      </c>
      <c r="AO42" s="90">
        <v>-2.7041067776356287</v>
      </c>
      <c r="AP42" s="90">
        <v>-1.7945635631293255</v>
      </c>
      <c r="AQ42" s="90">
        <v>-1.8177519846888646</v>
      </c>
      <c r="AR42" s="90">
        <v>-1.9338726258534389</v>
      </c>
      <c r="AS42" s="90">
        <v>-1.5324535140459838</v>
      </c>
      <c r="AT42" s="90">
        <v>-1.2805444499157992</v>
      </c>
      <c r="AU42" s="90">
        <v>-1.1807950770901909</v>
      </c>
      <c r="AV42" s="90">
        <v>-0.31513525235761231</v>
      </c>
      <c r="AW42" s="90">
        <v>-1.7140512017810305E-2</v>
      </c>
      <c r="AX42" s="90">
        <v>0.795728170585841</v>
      </c>
      <c r="AY42" s="90">
        <v>3.3951010729162512</v>
      </c>
      <c r="AZ42" s="90">
        <v>5.9010089648150021</v>
      </c>
      <c r="BA42" s="90">
        <v>7.1629126490554196</v>
      </c>
      <c r="BB42" s="90">
        <v>7.6932390223593217</v>
      </c>
      <c r="BC42" s="90">
        <v>9.1122892696492208</v>
      </c>
      <c r="BD42" s="90">
        <v>9.0486715579134902</v>
      </c>
      <c r="BE42" s="90">
        <v>8.6264340875839238</v>
      </c>
      <c r="BF42" s="90">
        <v>9.3812697271667957</v>
      </c>
      <c r="BG42" s="90">
        <v>9.1120393123102161</v>
      </c>
      <c r="BH42" s="90">
        <v>7.3633252911918579</v>
      </c>
      <c r="BI42" s="90">
        <v>7.1260637285342598</v>
      </c>
      <c r="BJ42" s="90">
        <v>6.7970293577453544</v>
      </c>
      <c r="BK42" s="90">
        <v>4.4645267323194959</v>
      </c>
      <c r="BL42" s="90">
        <v>2.1049314545563691</v>
      </c>
      <c r="BM42" s="90">
        <v>-0.61233230864902177</v>
      </c>
      <c r="BN42" s="90">
        <v>-3.7182928359576373</v>
      </c>
      <c r="BO42" s="90">
        <v>-4.526251969802308</v>
      </c>
      <c r="BP42" s="90">
        <v>-4.0820914212250088</v>
      </c>
      <c r="BQ42" s="90">
        <v>-3.966775142284118</v>
      </c>
      <c r="BR42" s="90">
        <v>-4.675140192073024</v>
      </c>
      <c r="BS42" s="90">
        <v>-4.2937973171079609</v>
      </c>
      <c r="BT42" s="90">
        <v>-3.6781803765800314</v>
      </c>
      <c r="BU42" s="90">
        <v>-3.1129711798476123</v>
      </c>
      <c r="BV42" s="90">
        <v>-2.6497870886745822</v>
      </c>
      <c r="BW42" s="90">
        <v>-3.0596758176615002</v>
      </c>
      <c r="BX42" s="90">
        <v>-2.282137929344763</v>
      </c>
      <c r="BY42" s="90">
        <v>-1.1897310541775119</v>
      </c>
      <c r="BZ42" s="90">
        <v>0.61877552251485834</v>
      </c>
      <c r="CA42" s="90">
        <v>-0.90696529868409259</v>
      </c>
      <c r="CB42" s="90">
        <v>-1.4763159361811162</v>
      </c>
      <c r="CC42" s="90">
        <v>-1.830410626350687</v>
      </c>
      <c r="CD42" s="90">
        <v>-2.2192662329365231</v>
      </c>
      <c r="CE42" s="90">
        <v>-3.5007791895587781</v>
      </c>
      <c r="CF42" s="90">
        <v>-3.6481771319747835</v>
      </c>
      <c r="CG42" s="90">
        <v>-2.4307201297466663</v>
      </c>
      <c r="CH42" s="90">
        <v>-3.7004657762115589</v>
      </c>
      <c r="CI42" s="90">
        <v>-3.6084719701573897</v>
      </c>
      <c r="CJ42" s="90">
        <v>-3.5285312428744442</v>
      </c>
      <c r="CK42" s="90">
        <v>-3.5575186902662703</v>
      </c>
      <c r="CL42" s="90">
        <v>-3.0939041270481082</v>
      </c>
      <c r="CM42" s="90">
        <v>-1.9010292772506654</v>
      </c>
      <c r="CN42" s="90">
        <v>-1.9589619469642883</v>
      </c>
      <c r="CO42" s="90">
        <v>-2.5726338016241912</v>
      </c>
      <c r="CP42" s="90">
        <v>-1.6570301893486961</v>
      </c>
      <c r="CQ42" s="90">
        <v>-0.34257740069587594</v>
      </c>
      <c r="CR42" s="90">
        <v>0.38179586700453072</v>
      </c>
      <c r="CS42" s="90">
        <v>-1.2203309872302559</v>
      </c>
      <c r="CT42" s="90">
        <v>0.74978279371007428</v>
      </c>
    </row>
    <row r="43" spans="1:98" ht="15.5" x14ac:dyDescent="0.35">
      <c r="A43" s="88"/>
      <c r="B43" s="42">
        <v>210</v>
      </c>
      <c r="C43" s="31" t="s">
        <v>113</v>
      </c>
      <c r="D43" s="40" t="s">
        <v>114</v>
      </c>
      <c r="E43" s="102">
        <f>VLOOKUP(C43,[1]CLASSI_EAI!A:G,7,FALSE)</f>
        <v>73.679830723938096</v>
      </c>
      <c r="F43" s="75">
        <v>3.4255966232988655</v>
      </c>
      <c r="G43" s="75">
        <v>3.5072137397928138</v>
      </c>
      <c r="H43" s="75">
        <v>6.0090859402776253</v>
      </c>
      <c r="I43" s="75">
        <v>5.5925735313638869</v>
      </c>
      <c r="J43" s="75">
        <v>5.3350035131336515</v>
      </c>
      <c r="K43" s="75">
        <v>4.3069126963560356</v>
      </c>
      <c r="L43" s="75">
        <v>4.4038342854475943</v>
      </c>
      <c r="M43" s="75">
        <v>4.5043095544699208</v>
      </c>
      <c r="N43" s="75">
        <v>5.3927221793286018</v>
      </c>
      <c r="O43" s="75">
        <v>5.578182939772347</v>
      </c>
      <c r="P43" s="75">
        <v>4.9706464908472414</v>
      </c>
      <c r="Q43" s="75">
        <v>2.6491461778869407</v>
      </c>
      <c r="R43" s="75">
        <v>1.7073510134745007</v>
      </c>
      <c r="S43" s="75">
        <v>1.6290870852394557</v>
      </c>
      <c r="T43" s="75">
        <v>-2.5999377123055445</v>
      </c>
      <c r="U43" s="75">
        <v>-1.642926141098533</v>
      </c>
      <c r="V43" s="75">
        <v>-0.89817204999038669</v>
      </c>
      <c r="W43" s="75">
        <v>-0.57911597647617441</v>
      </c>
      <c r="X43" s="75">
        <v>-0.41960712798572164</v>
      </c>
      <c r="Y43" s="75">
        <v>-0.12042318367324611</v>
      </c>
      <c r="Z43" s="75">
        <v>1.0910405671882284</v>
      </c>
      <c r="AA43" s="75">
        <v>1.8462518224157787</v>
      </c>
      <c r="AB43" s="75">
        <v>2.3208775679534943</v>
      </c>
      <c r="AC43" s="75">
        <v>7.0073347907314787</v>
      </c>
      <c r="AD43" s="75">
        <v>6.4110575508859569</v>
      </c>
      <c r="AE43" s="75">
        <v>6.040894901808902</v>
      </c>
      <c r="AF43" s="75">
        <v>8.1022866377923553</v>
      </c>
      <c r="AG43" s="75">
        <v>7.1064731705773765</v>
      </c>
      <c r="AH43" s="75">
        <v>6.4802366639135522</v>
      </c>
      <c r="AI43" s="75">
        <v>6.3340763928270594</v>
      </c>
      <c r="AJ43" s="75">
        <v>6.464295919146168</v>
      </c>
      <c r="AK43" s="75">
        <v>6.0430104322925615</v>
      </c>
      <c r="AL43" s="75">
        <v>3.4291937738195166</v>
      </c>
      <c r="AM43" s="75">
        <v>2.1387403449100617</v>
      </c>
      <c r="AN43" s="75">
        <v>0.96987221439237548</v>
      </c>
      <c r="AO43" s="75">
        <v>-2.7041067776356287</v>
      </c>
      <c r="AP43" s="75">
        <v>-1.7945635631293255</v>
      </c>
      <c r="AQ43" s="75">
        <v>-1.8177519846888646</v>
      </c>
      <c r="AR43" s="75">
        <v>-1.9338726258534389</v>
      </c>
      <c r="AS43" s="75">
        <v>-1.5324535140459838</v>
      </c>
      <c r="AT43" s="75">
        <v>-1.2805444499157992</v>
      </c>
      <c r="AU43" s="75">
        <v>-1.1807950770901909</v>
      </c>
      <c r="AV43" s="75">
        <v>-0.31513525235761231</v>
      </c>
      <c r="AW43" s="75">
        <v>-1.7140512017810305E-2</v>
      </c>
      <c r="AX43" s="75">
        <v>0.795728170585841</v>
      </c>
      <c r="AY43" s="75">
        <v>3.3951010729162512</v>
      </c>
      <c r="AZ43" s="75">
        <v>5.9010089648150021</v>
      </c>
      <c r="BA43" s="75">
        <v>7.1629126490554196</v>
      </c>
      <c r="BB43" s="75">
        <v>7.6932390223593217</v>
      </c>
      <c r="BC43" s="75">
        <v>9.1122892696492208</v>
      </c>
      <c r="BD43" s="75">
        <v>9.0486715579134902</v>
      </c>
      <c r="BE43" s="75">
        <v>8.6264340875839238</v>
      </c>
      <c r="BF43" s="75">
        <v>9.3812697271667957</v>
      </c>
      <c r="BG43" s="75">
        <v>9.1120393123102161</v>
      </c>
      <c r="BH43" s="75">
        <v>7.3633252911918579</v>
      </c>
      <c r="BI43" s="75">
        <v>7.1260637285342598</v>
      </c>
      <c r="BJ43" s="75">
        <v>6.7970293577453544</v>
      </c>
      <c r="BK43" s="75">
        <v>4.4645267323194959</v>
      </c>
      <c r="BL43" s="75">
        <v>2.1049314545563691</v>
      </c>
      <c r="BM43" s="75">
        <v>-0.61233230864902177</v>
      </c>
      <c r="BN43" s="75">
        <v>-3.7182928359576373</v>
      </c>
      <c r="BO43" s="75">
        <v>-4.526251969802308</v>
      </c>
      <c r="BP43" s="75">
        <v>-4.0820914212250088</v>
      </c>
      <c r="BQ43" s="75">
        <v>-3.966775142284118</v>
      </c>
      <c r="BR43" s="75">
        <v>-4.675140192073024</v>
      </c>
      <c r="BS43" s="75">
        <v>-4.2937973171079609</v>
      </c>
      <c r="BT43" s="75">
        <v>-3.6781803765800314</v>
      </c>
      <c r="BU43" s="75">
        <v>-3.1129711798476123</v>
      </c>
      <c r="BV43" s="75">
        <v>-2.6497870886745822</v>
      </c>
      <c r="BW43" s="75">
        <v>-3.0596758176615002</v>
      </c>
      <c r="BX43" s="75">
        <v>-2.282137929344763</v>
      </c>
      <c r="BY43" s="75">
        <v>-1.1897310541775119</v>
      </c>
      <c r="BZ43" s="75">
        <v>0.61877552251485834</v>
      </c>
      <c r="CA43" s="75">
        <v>-0.90696529868409259</v>
      </c>
      <c r="CB43" s="75">
        <v>-1.4763159361811162</v>
      </c>
      <c r="CC43" s="75">
        <v>-1.830410626350687</v>
      </c>
      <c r="CD43" s="75">
        <v>-2.2192662329365231</v>
      </c>
      <c r="CE43" s="75">
        <v>-3.5007791895587781</v>
      </c>
      <c r="CF43" s="75">
        <v>-3.6481771319747835</v>
      </c>
      <c r="CG43" s="75">
        <v>-2.4307201297466663</v>
      </c>
      <c r="CH43" s="75">
        <v>-3.7004657762115589</v>
      </c>
      <c r="CI43" s="75">
        <v>-3.6084719701573897</v>
      </c>
      <c r="CJ43" s="75">
        <v>-3.5285312428744442</v>
      </c>
      <c r="CK43" s="75">
        <v>-3.5575186902662703</v>
      </c>
      <c r="CL43" s="75">
        <v>-3.0939041270481082</v>
      </c>
      <c r="CM43" s="75">
        <v>-1.9010292772506654</v>
      </c>
      <c r="CN43" s="75">
        <v>-1.9589619469642883</v>
      </c>
      <c r="CO43" s="75">
        <v>-2.5726338016241912</v>
      </c>
      <c r="CP43" s="75">
        <v>-1.6570301893486961</v>
      </c>
      <c r="CQ43" s="75">
        <v>-0.34257740069587594</v>
      </c>
      <c r="CR43" s="75">
        <v>0.38179586700453072</v>
      </c>
      <c r="CS43" s="75">
        <v>-1.2203309872302559</v>
      </c>
      <c r="CT43" s="75">
        <v>0.74978279371007428</v>
      </c>
    </row>
    <row r="44" spans="1:98" ht="15.5" x14ac:dyDescent="0.35">
      <c r="A44" s="83">
        <v>22</v>
      </c>
      <c r="B44" s="44"/>
      <c r="C44" s="44"/>
      <c r="D44" s="45" t="s">
        <v>23</v>
      </c>
      <c r="E44" s="103">
        <f>E45</f>
        <v>26.9776838755276</v>
      </c>
      <c r="F44" s="90">
        <v>6.4957164663456579</v>
      </c>
      <c r="G44" s="90">
        <v>6.4767047714664683</v>
      </c>
      <c r="H44" s="90">
        <v>5.9876252185154577</v>
      </c>
      <c r="I44" s="90">
        <v>5.7597333516996807</v>
      </c>
      <c r="J44" s="90">
        <v>5.7997837069571956</v>
      </c>
      <c r="K44" s="90">
        <v>5.535526650406597</v>
      </c>
      <c r="L44" s="90">
        <v>5.2808376903767273</v>
      </c>
      <c r="M44" s="90">
        <v>4.0927066674409263</v>
      </c>
      <c r="N44" s="90">
        <v>4.0802353972019034</v>
      </c>
      <c r="O44" s="90">
        <v>-0.56895515434360888</v>
      </c>
      <c r="P44" s="90">
        <v>-0.61023302419516146</v>
      </c>
      <c r="Q44" s="90">
        <v>-2.0724204905923971</v>
      </c>
      <c r="R44" s="90">
        <v>-3.8150308702609825</v>
      </c>
      <c r="S44" s="90">
        <v>-3.779906808636202</v>
      </c>
      <c r="T44" s="90">
        <v>-3.6361346051890453</v>
      </c>
      <c r="U44" s="90">
        <v>-3.555559019845056</v>
      </c>
      <c r="V44" s="90">
        <v>-3.5758740065549022</v>
      </c>
      <c r="W44" s="90">
        <v>-3.4275836246309255</v>
      </c>
      <c r="X44" s="90">
        <v>-3.7516575912267314</v>
      </c>
      <c r="Y44" s="90">
        <v>-2.6530634131796904</v>
      </c>
      <c r="Z44" s="90">
        <v>-2.692213988638692</v>
      </c>
      <c r="AA44" s="90">
        <v>-3.4264750314509929</v>
      </c>
      <c r="AB44" s="90">
        <v>-3.4028569276196685</v>
      </c>
      <c r="AC44" s="90">
        <v>-2.8636000623114111</v>
      </c>
      <c r="AD44" s="90">
        <v>-2.3256324109348636</v>
      </c>
      <c r="AE44" s="90">
        <v>-2.345413374220473</v>
      </c>
      <c r="AF44" s="90">
        <v>-2.0411568470126373</v>
      </c>
      <c r="AG44" s="90">
        <v>-1.912091557660911</v>
      </c>
      <c r="AH44" s="90">
        <v>-1.9193258675829439</v>
      </c>
      <c r="AI44" s="90">
        <v>-1.1965079688522118</v>
      </c>
      <c r="AJ44" s="90">
        <v>1.7532332348088708</v>
      </c>
      <c r="AK44" s="90">
        <v>1.7532332348088708</v>
      </c>
      <c r="AL44" s="90">
        <v>1.7532332348088708</v>
      </c>
      <c r="AM44" s="90">
        <v>3.562628290196046</v>
      </c>
      <c r="AN44" s="90">
        <v>3.5516389132801196</v>
      </c>
      <c r="AO44" s="90">
        <v>3.5464720205756084</v>
      </c>
      <c r="AP44" s="90">
        <v>3.4416150342330143</v>
      </c>
      <c r="AQ44" s="90">
        <v>3.4475544341541653</v>
      </c>
      <c r="AR44" s="90">
        <v>3.8872178614936859</v>
      </c>
      <c r="AS44" s="90">
        <v>7.6071846538425358</v>
      </c>
      <c r="AT44" s="90">
        <v>7.6071846538425358</v>
      </c>
      <c r="AU44" s="90">
        <v>6.9811260543043652</v>
      </c>
      <c r="AV44" s="90">
        <v>4.4238724427655862</v>
      </c>
      <c r="AW44" s="90">
        <v>3.7252966908341456</v>
      </c>
      <c r="AX44" s="90">
        <v>4.0695853974368257</v>
      </c>
      <c r="AY44" s="90">
        <v>3.9383604203750533</v>
      </c>
      <c r="AZ44" s="90">
        <v>4.31331279324072</v>
      </c>
      <c r="BA44" s="90">
        <v>5.6879978226386463</v>
      </c>
      <c r="BB44" s="90">
        <v>6.07472312517503</v>
      </c>
      <c r="BC44" s="90">
        <v>6.0686328874153039</v>
      </c>
      <c r="BD44" s="90">
        <v>5.6197374445642767</v>
      </c>
      <c r="BE44" s="90">
        <v>2.1591693414130475</v>
      </c>
      <c r="BF44" s="90">
        <v>2.1591693414130475</v>
      </c>
      <c r="BG44" s="90">
        <v>3.0929556449320161</v>
      </c>
      <c r="BH44" s="90">
        <v>3.329272451393539</v>
      </c>
      <c r="BI44" s="90">
        <v>4.0270837484886579</v>
      </c>
      <c r="BJ44" s="90">
        <v>2.7133873510787554</v>
      </c>
      <c r="BK44" s="90">
        <v>2.8154790463558177</v>
      </c>
      <c r="BL44" s="90">
        <v>2.4459106106167861</v>
      </c>
      <c r="BM44" s="90">
        <v>0.15622225913280996</v>
      </c>
      <c r="BN44" s="90">
        <v>-0.16905684870069937</v>
      </c>
      <c r="BO44" s="90">
        <v>-0.16905684870069937</v>
      </c>
      <c r="BP44" s="90">
        <v>-0.24403124436905843</v>
      </c>
      <c r="BQ44" s="90">
        <v>-0.8303034382193708</v>
      </c>
      <c r="BR44" s="90">
        <v>-0.8303034382193708</v>
      </c>
      <c r="BS44" s="90">
        <v>-1.8753137556260735</v>
      </c>
      <c r="BT44" s="90">
        <v>-2.3951517588328364</v>
      </c>
      <c r="BU44" s="90">
        <v>-3.8060797171901584</v>
      </c>
      <c r="BV44" s="90">
        <v>-2.8980709949969707</v>
      </c>
      <c r="BW44" s="90">
        <v>-2.87855463368899</v>
      </c>
      <c r="BX44" s="90">
        <v>-2.87855463368899</v>
      </c>
      <c r="BY44" s="90">
        <v>-1.9178360919822723</v>
      </c>
      <c r="BZ44" s="90">
        <v>-1.9785667937802454</v>
      </c>
      <c r="CA44" s="90">
        <v>-1.9792007260364564</v>
      </c>
      <c r="CB44" s="90">
        <v>-1.9494665275410106</v>
      </c>
      <c r="CC44" s="90">
        <v>-1.553916217614959</v>
      </c>
      <c r="CD44" s="90">
        <v>-1.5085142076438185</v>
      </c>
      <c r="CE44" s="90">
        <v>-1.4450814878564699</v>
      </c>
      <c r="CF44" s="90">
        <v>-1.2610438741308516</v>
      </c>
      <c r="CG44" s="90">
        <v>0.15503580347573376</v>
      </c>
      <c r="CH44" s="90">
        <v>0.21207597342758344</v>
      </c>
      <c r="CI44" s="90">
        <v>-7.2317302143232176E-2</v>
      </c>
      <c r="CJ44" s="90">
        <v>-0.37625369559346478</v>
      </c>
      <c r="CK44" s="90">
        <v>-0.40434387584104003</v>
      </c>
      <c r="CL44" s="90">
        <v>-0.40434387584104003</v>
      </c>
      <c r="CM44" s="90">
        <v>-0.84884872034007852</v>
      </c>
      <c r="CN44" s="90">
        <v>-0.84371984848077286</v>
      </c>
      <c r="CO44" s="90">
        <v>-0.84371984848077286</v>
      </c>
      <c r="CP44" s="90">
        <v>-0.88942831133848044</v>
      </c>
      <c r="CQ44" s="90">
        <v>-0.95508113594141575</v>
      </c>
      <c r="CR44" s="90">
        <v>-0.76276451775860732</v>
      </c>
      <c r="CS44" s="90">
        <v>-0.73269738606804857</v>
      </c>
      <c r="CT44" s="90">
        <v>-0.56034381646394849</v>
      </c>
    </row>
    <row r="45" spans="1:98" ht="15.5" x14ac:dyDescent="0.35">
      <c r="A45" s="88"/>
      <c r="B45" s="42">
        <v>220</v>
      </c>
      <c r="C45" s="37">
        <v>2220</v>
      </c>
      <c r="D45" s="40" t="s">
        <v>117</v>
      </c>
      <c r="E45" s="102">
        <f>[1]CLASSI_EAI!G685</f>
        <v>26.9776838755276</v>
      </c>
      <c r="F45" s="75">
        <v>6.4957164663456579</v>
      </c>
      <c r="G45" s="75">
        <v>6.4767047714664683</v>
      </c>
      <c r="H45" s="75">
        <v>5.9876252185154577</v>
      </c>
      <c r="I45" s="75">
        <v>5.7597333516996807</v>
      </c>
      <c r="J45" s="75">
        <v>5.7997837069571956</v>
      </c>
      <c r="K45" s="75">
        <v>5.535526650406597</v>
      </c>
      <c r="L45" s="75">
        <v>5.2808376903767273</v>
      </c>
      <c r="M45" s="75">
        <v>4.0927066674409263</v>
      </c>
      <c r="N45" s="75">
        <v>4.0802353972019034</v>
      </c>
      <c r="O45" s="75">
        <v>-0.56895515434360888</v>
      </c>
      <c r="P45" s="75">
        <v>-0.61023302419516146</v>
      </c>
      <c r="Q45" s="75">
        <v>-2.0724204905923971</v>
      </c>
      <c r="R45" s="75">
        <v>-3.8150308702609825</v>
      </c>
      <c r="S45" s="75">
        <v>-3.779906808636202</v>
      </c>
      <c r="T45" s="75">
        <v>-3.6361346051890453</v>
      </c>
      <c r="U45" s="75">
        <v>-3.555559019845056</v>
      </c>
      <c r="V45" s="75">
        <v>-3.5758740065549022</v>
      </c>
      <c r="W45" s="75">
        <v>-3.4275836246309255</v>
      </c>
      <c r="X45" s="75">
        <v>-3.7516575912267314</v>
      </c>
      <c r="Y45" s="75">
        <v>-2.6530634131796904</v>
      </c>
      <c r="Z45" s="75">
        <v>-2.692213988638692</v>
      </c>
      <c r="AA45" s="75">
        <v>-3.4264750314509929</v>
      </c>
      <c r="AB45" s="75">
        <v>-3.4028569276196685</v>
      </c>
      <c r="AC45" s="75">
        <v>-2.8636000623114111</v>
      </c>
      <c r="AD45" s="75">
        <v>-2.3256324109348636</v>
      </c>
      <c r="AE45" s="75">
        <v>-2.345413374220473</v>
      </c>
      <c r="AF45" s="75">
        <v>-2.0411568470126373</v>
      </c>
      <c r="AG45" s="75">
        <v>-1.912091557660911</v>
      </c>
      <c r="AH45" s="75">
        <v>-1.9193258675829439</v>
      </c>
      <c r="AI45" s="75">
        <v>-1.1965079688522118</v>
      </c>
      <c r="AJ45" s="75">
        <v>1.7532332348088708</v>
      </c>
      <c r="AK45" s="75">
        <v>1.7532332348088708</v>
      </c>
      <c r="AL45" s="75">
        <v>1.7532332348088708</v>
      </c>
      <c r="AM45" s="75">
        <v>3.562628290196046</v>
      </c>
      <c r="AN45" s="75">
        <v>3.5516389132801196</v>
      </c>
      <c r="AO45" s="75">
        <v>3.5464720205756084</v>
      </c>
      <c r="AP45" s="75">
        <v>3.4416150342330143</v>
      </c>
      <c r="AQ45" s="75">
        <v>3.4475544341541653</v>
      </c>
      <c r="AR45" s="75">
        <v>3.8872178614936859</v>
      </c>
      <c r="AS45" s="75">
        <v>7.6071846538425358</v>
      </c>
      <c r="AT45" s="75">
        <v>7.6071846538425358</v>
      </c>
      <c r="AU45" s="75">
        <v>6.9811260543043652</v>
      </c>
      <c r="AV45" s="75">
        <v>4.4238724427655862</v>
      </c>
      <c r="AW45" s="75">
        <v>3.7252966908341456</v>
      </c>
      <c r="AX45" s="75">
        <v>4.0695853974368257</v>
      </c>
      <c r="AY45" s="75">
        <v>3.9383604203750533</v>
      </c>
      <c r="AZ45" s="75">
        <v>4.31331279324072</v>
      </c>
      <c r="BA45" s="75">
        <v>5.6879978226386463</v>
      </c>
      <c r="BB45" s="75">
        <v>6.07472312517503</v>
      </c>
      <c r="BC45" s="75">
        <v>6.0686328874153039</v>
      </c>
      <c r="BD45" s="75">
        <v>5.6197374445642767</v>
      </c>
      <c r="BE45" s="75">
        <v>2.1591693414130475</v>
      </c>
      <c r="BF45" s="75">
        <v>2.1591693414130475</v>
      </c>
      <c r="BG45" s="75">
        <v>3.0929556449320161</v>
      </c>
      <c r="BH45" s="75">
        <v>3.329272451393539</v>
      </c>
      <c r="BI45" s="75">
        <v>4.0270837484886579</v>
      </c>
      <c r="BJ45" s="75">
        <v>2.7133873510787554</v>
      </c>
      <c r="BK45" s="75">
        <v>2.8154790463558177</v>
      </c>
      <c r="BL45" s="75">
        <v>2.4459106106167861</v>
      </c>
      <c r="BM45" s="75">
        <v>0.15622225913280996</v>
      </c>
      <c r="BN45" s="75">
        <v>-0.16905684870069937</v>
      </c>
      <c r="BO45" s="75">
        <v>-0.16905684870069937</v>
      </c>
      <c r="BP45" s="75">
        <v>-0.24403124436905843</v>
      </c>
      <c r="BQ45" s="75">
        <v>-0.8303034382193708</v>
      </c>
      <c r="BR45" s="75">
        <v>-0.8303034382193708</v>
      </c>
      <c r="BS45" s="75">
        <v>-1.8753137556260735</v>
      </c>
      <c r="BT45" s="75">
        <v>-2.3951517588328364</v>
      </c>
      <c r="BU45" s="75">
        <v>-3.8060797171901584</v>
      </c>
      <c r="BV45" s="75">
        <v>-2.8980709949969707</v>
      </c>
      <c r="BW45" s="75">
        <v>-2.87855463368899</v>
      </c>
      <c r="BX45" s="75">
        <v>-2.87855463368899</v>
      </c>
      <c r="BY45" s="75">
        <v>-1.9178360919822723</v>
      </c>
      <c r="BZ45" s="75">
        <v>-1.9785667937802454</v>
      </c>
      <c r="CA45" s="75">
        <v>-1.9792007260364564</v>
      </c>
      <c r="CB45" s="75">
        <v>-1.9494665275410106</v>
      </c>
      <c r="CC45" s="75">
        <v>-1.553916217614959</v>
      </c>
      <c r="CD45" s="75">
        <v>-1.5085142076438185</v>
      </c>
      <c r="CE45" s="75">
        <v>-1.4450814878564699</v>
      </c>
      <c r="CF45" s="75">
        <v>-1.2610438741308516</v>
      </c>
      <c r="CG45" s="75">
        <v>0.15503580347573376</v>
      </c>
      <c r="CH45" s="75">
        <v>0.21207597342758344</v>
      </c>
      <c r="CI45" s="75">
        <v>-7.2317302143232176E-2</v>
      </c>
      <c r="CJ45" s="75">
        <v>-0.37625369559346478</v>
      </c>
      <c r="CK45" s="75">
        <v>-0.40434387584104003</v>
      </c>
      <c r="CL45" s="75">
        <v>-0.40434387584104003</v>
      </c>
      <c r="CM45" s="75">
        <v>-0.84884872034007852</v>
      </c>
      <c r="CN45" s="75">
        <v>-0.84371984848077286</v>
      </c>
      <c r="CO45" s="75">
        <v>-0.84371984848077286</v>
      </c>
      <c r="CP45" s="75">
        <v>-0.88942831133848044</v>
      </c>
      <c r="CQ45" s="75">
        <v>-0.95508113594141575</v>
      </c>
      <c r="CR45" s="75">
        <v>-0.76276451775860732</v>
      </c>
      <c r="CS45" s="75">
        <v>-0.73269738606804857</v>
      </c>
      <c r="CT45" s="75">
        <v>-0.56034381646394849</v>
      </c>
    </row>
    <row r="46" spans="1:98" ht="15.5" x14ac:dyDescent="0.35">
      <c r="A46" s="83">
        <v>23</v>
      </c>
      <c r="B46" s="57"/>
      <c r="C46" s="57"/>
      <c r="D46" s="58" t="s">
        <v>24</v>
      </c>
      <c r="E46" s="101">
        <f>E47+E48+E49</f>
        <v>50.593883394645502</v>
      </c>
      <c r="F46" s="70">
        <v>-2.7726870718545071</v>
      </c>
      <c r="G46" s="70">
        <v>-6.9537491169231807</v>
      </c>
      <c r="H46" s="70">
        <v>-7.9587811970699196</v>
      </c>
      <c r="I46" s="70">
        <v>-3.9029129519049355</v>
      </c>
      <c r="J46" s="70">
        <v>-3.9029129519049355</v>
      </c>
      <c r="K46" s="70">
        <v>-2.9499392482673858</v>
      </c>
      <c r="L46" s="70">
        <v>-3.8466954778668683</v>
      </c>
      <c r="M46" s="70">
        <v>-4.4052880236505327</v>
      </c>
      <c r="N46" s="70">
        <v>-5.2341377051677522</v>
      </c>
      <c r="O46" s="70">
        <v>-6.3904835462898602</v>
      </c>
      <c r="P46" s="70">
        <v>-6.6932402870789272</v>
      </c>
      <c r="Q46" s="70">
        <v>-5.7716775612145614</v>
      </c>
      <c r="R46" s="70">
        <v>-4.0461411865304502</v>
      </c>
      <c r="S46" s="70">
        <v>-1.5454301045563223</v>
      </c>
      <c r="T46" s="70">
        <v>-0.77835348180382846</v>
      </c>
      <c r="U46" s="70">
        <v>-0.75841144670656391</v>
      </c>
      <c r="V46" s="70">
        <v>-0.75841144670656391</v>
      </c>
      <c r="W46" s="70">
        <v>-1.7325406469797966</v>
      </c>
      <c r="X46" s="70">
        <v>-1.9396756233062473</v>
      </c>
      <c r="Y46" s="70">
        <v>-2.4330630961584165</v>
      </c>
      <c r="Z46" s="70">
        <v>-2.4330630961584165</v>
      </c>
      <c r="AA46" s="70">
        <v>-2.4330630961584165</v>
      </c>
      <c r="AB46" s="70">
        <v>-2.1379393613348729</v>
      </c>
      <c r="AC46" s="70">
        <v>-2.1379393613348729</v>
      </c>
      <c r="AD46" s="70">
        <v>-2.1379393613348729</v>
      </c>
      <c r="AE46" s="70">
        <v>-0.11157808505789513</v>
      </c>
      <c r="AF46" s="70">
        <v>0.73918296841402054</v>
      </c>
      <c r="AG46" s="70">
        <v>0.73918296841402054</v>
      </c>
      <c r="AH46" s="70">
        <v>0.73918296841402054</v>
      </c>
      <c r="AI46" s="70">
        <v>8.7343167796971599E-2</v>
      </c>
      <c r="AJ46" s="70">
        <v>0.22594594922602518</v>
      </c>
      <c r="AK46" s="70">
        <v>0.23058315386370598</v>
      </c>
      <c r="AL46" s="70">
        <v>0.23058315386370598</v>
      </c>
      <c r="AM46" s="70">
        <v>1.0918278182168395</v>
      </c>
      <c r="AN46" s="70">
        <v>0.72302967489228376</v>
      </c>
      <c r="AO46" s="70">
        <v>0.70751946093394746</v>
      </c>
      <c r="AP46" s="70">
        <v>0.71732102938619757</v>
      </c>
      <c r="AQ46" s="70">
        <v>0.48918865086720054</v>
      </c>
      <c r="AR46" s="70">
        <v>0.6766701227615135</v>
      </c>
      <c r="AS46" s="70">
        <v>0.6766701227615135</v>
      </c>
      <c r="AT46" s="70">
        <v>1.0713780876206114</v>
      </c>
      <c r="AU46" s="70">
        <v>1.7308415253269649</v>
      </c>
      <c r="AV46" s="70">
        <v>1.6123646835386474</v>
      </c>
      <c r="AW46" s="70">
        <v>2.0479593669008311</v>
      </c>
      <c r="AX46" s="70">
        <v>6.7685766862805474</v>
      </c>
      <c r="AY46" s="70">
        <v>10.3177157057321</v>
      </c>
      <c r="AZ46" s="70">
        <v>13.17617718280777</v>
      </c>
      <c r="BA46" s="70">
        <v>12.126716835187334</v>
      </c>
      <c r="BB46" s="70">
        <v>11.240339458389691</v>
      </c>
      <c r="BC46" s="70">
        <v>11.240339458389691</v>
      </c>
      <c r="BD46" s="70">
        <v>10.438118739554071</v>
      </c>
      <c r="BE46" s="70">
        <v>10.438118739554071</v>
      </c>
      <c r="BF46" s="70">
        <v>10.006831406628125</v>
      </c>
      <c r="BG46" s="70">
        <v>10.016584545188302</v>
      </c>
      <c r="BH46" s="70">
        <v>10.016584545188302</v>
      </c>
      <c r="BI46" s="70">
        <v>9.5469755534273837</v>
      </c>
      <c r="BJ46" s="70">
        <v>4.6939603001602048</v>
      </c>
      <c r="BK46" s="70">
        <v>0.4625110746610428</v>
      </c>
      <c r="BL46" s="70">
        <v>1.4643992368074121</v>
      </c>
      <c r="BM46" s="70">
        <v>2.4298376826834112</v>
      </c>
      <c r="BN46" s="70">
        <v>3.3188260966334315</v>
      </c>
      <c r="BO46" s="70">
        <v>3.326544591198588</v>
      </c>
      <c r="BP46" s="70">
        <v>3.3265126164752745</v>
      </c>
      <c r="BQ46" s="70">
        <v>3.3265126164752745</v>
      </c>
      <c r="BR46" s="70">
        <v>3.3265126164752745</v>
      </c>
      <c r="BS46" s="70">
        <v>3.3173525630282974</v>
      </c>
      <c r="BT46" s="70">
        <v>3.3173525630282974</v>
      </c>
      <c r="BU46" s="70">
        <v>3.3173525630282974</v>
      </c>
      <c r="BV46" s="70">
        <v>4.0127705775973688</v>
      </c>
      <c r="BW46" s="70">
        <v>6.3561322163386613</v>
      </c>
      <c r="BX46" s="70">
        <v>3.0220967816093403</v>
      </c>
      <c r="BY46" s="70">
        <v>3.0316877921340968</v>
      </c>
      <c r="BZ46" s="70">
        <v>2.9490561710332042</v>
      </c>
      <c r="CA46" s="70">
        <v>2.9437560602003643</v>
      </c>
      <c r="CB46" s="70">
        <v>2.2209455459943239</v>
      </c>
      <c r="CC46" s="70">
        <v>2.2209455459943239</v>
      </c>
      <c r="CD46" s="70">
        <v>2.2209455459943239</v>
      </c>
      <c r="CE46" s="70">
        <v>2.2246112572930299</v>
      </c>
      <c r="CF46" s="70">
        <v>2.2263744591717982</v>
      </c>
      <c r="CG46" s="70">
        <v>2.2263744591717982</v>
      </c>
      <c r="CH46" s="70">
        <v>1.589592763585479</v>
      </c>
      <c r="CI46" s="70">
        <v>-0.648746950511081</v>
      </c>
      <c r="CJ46" s="70">
        <v>-0.648746950511081</v>
      </c>
      <c r="CK46" s="70">
        <v>-0.65799535684185617</v>
      </c>
      <c r="CL46" s="70">
        <v>-1.6163995374755658</v>
      </c>
      <c r="CM46" s="70">
        <v>-1.9578847525781651</v>
      </c>
      <c r="CN46" s="70">
        <v>-1.2733080584563683</v>
      </c>
      <c r="CO46" s="70">
        <v>-1.8438535339639683</v>
      </c>
      <c r="CP46" s="70">
        <v>-1.8438560378866042</v>
      </c>
      <c r="CQ46" s="70">
        <v>-1.8473758564658382</v>
      </c>
      <c r="CR46" s="70">
        <v>-1.4933515604304337</v>
      </c>
      <c r="CS46" s="70">
        <v>-0.82646170873001967</v>
      </c>
      <c r="CT46" s="70">
        <v>0.99949594079489223</v>
      </c>
    </row>
    <row r="47" spans="1:98" ht="15.5" x14ac:dyDescent="0.35">
      <c r="A47" s="88"/>
      <c r="B47" s="43">
        <v>239</v>
      </c>
      <c r="C47" s="31" t="s">
        <v>118</v>
      </c>
      <c r="D47" s="40" t="s">
        <v>105</v>
      </c>
      <c r="E47" s="102">
        <f>VLOOKUP(C47,[1]CLASSI_EAI!A:G,7,FALSE)</f>
        <v>1.3162386715291501</v>
      </c>
      <c r="F47" s="76">
        <v>-9.4362133364522816E-2</v>
      </c>
      <c r="G47" s="76">
        <v>-9.4362133364522816E-2</v>
      </c>
      <c r="H47" s="76">
        <v>-9.4362133364522816E-2</v>
      </c>
      <c r="I47" s="76">
        <v>1.0908862052062318</v>
      </c>
      <c r="J47" s="76">
        <v>1.0908862052062318</v>
      </c>
      <c r="K47" s="76">
        <v>1.8042049644219293</v>
      </c>
      <c r="L47" s="76">
        <v>8.4937244928431568</v>
      </c>
      <c r="M47" s="76">
        <v>9.6100680020660523</v>
      </c>
      <c r="N47" s="76">
        <v>9.6100680020660523</v>
      </c>
      <c r="O47" s="76">
        <v>9.6100680020660523</v>
      </c>
      <c r="P47" s="76">
        <v>8.4272500881697354</v>
      </c>
      <c r="Q47" s="76">
        <v>8.4272500881697354</v>
      </c>
      <c r="R47" s="76">
        <v>8.4272500881697354</v>
      </c>
      <c r="S47" s="76">
        <v>8.4272500881697354</v>
      </c>
      <c r="T47" s="76">
        <v>11.784992120661286</v>
      </c>
      <c r="U47" s="76">
        <v>11.784992120661286</v>
      </c>
      <c r="V47" s="76">
        <v>11.784992120661286</v>
      </c>
      <c r="W47" s="76">
        <v>11.001740270638827</v>
      </c>
      <c r="X47" s="76">
        <v>3.5010621160541211</v>
      </c>
      <c r="Y47" s="76">
        <v>2.4469368792304991</v>
      </c>
      <c r="Z47" s="76">
        <v>2.4469368792304991</v>
      </c>
      <c r="AA47" s="76">
        <v>2.4469368792304991</v>
      </c>
      <c r="AB47" s="76">
        <v>2.4469368792304991</v>
      </c>
      <c r="AC47" s="76">
        <v>2.4469368792304991</v>
      </c>
      <c r="AD47" s="76">
        <v>2.4469368792304991</v>
      </c>
      <c r="AE47" s="76">
        <v>3.0967695203568679</v>
      </c>
      <c r="AF47" s="76">
        <v>2.2204460492503131E-14</v>
      </c>
      <c r="AG47" s="76">
        <v>2.2204460492503131E-14</v>
      </c>
      <c r="AH47" s="76">
        <v>2.2204460492503131E-14</v>
      </c>
      <c r="AI47" s="76">
        <v>2.2204460492503131E-14</v>
      </c>
      <c r="AJ47" s="76">
        <v>4.24257939901449</v>
      </c>
      <c r="AK47" s="76">
        <v>4.24257939901449</v>
      </c>
      <c r="AL47" s="76">
        <v>4.24257939901449</v>
      </c>
      <c r="AM47" s="76">
        <v>4.24257939901449</v>
      </c>
      <c r="AN47" s="76">
        <v>4.24257939901449</v>
      </c>
      <c r="AO47" s="76">
        <v>3.7631380554744576</v>
      </c>
      <c r="AP47" s="76">
        <v>4.0661175733690991</v>
      </c>
      <c r="AQ47" s="76">
        <v>3.4101750026262145</v>
      </c>
      <c r="AR47" s="76">
        <v>3.4101750026262145</v>
      </c>
      <c r="AS47" s="76">
        <v>3.4101750026262145</v>
      </c>
      <c r="AT47" s="76">
        <v>3.4101750026262145</v>
      </c>
      <c r="AU47" s="76">
        <v>3.4101750026262145</v>
      </c>
      <c r="AV47" s="76">
        <v>-0.1692799877581197</v>
      </c>
      <c r="AW47" s="76">
        <v>2.1278728838165728</v>
      </c>
      <c r="AX47" s="76">
        <v>2.1278728838165728</v>
      </c>
      <c r="AY47" s="76">
        <v>2.1278728838165728</v>
      </c>
      <c r="AZ47" s="76">
        <v>2.1278728838165728</v>
      </c>
      <c r="BA47" s="76">
        <v>2.7995200170213286</v>
      </c>
      <c r="BB47" s="76">
        <v>2.5002280885740413</v>
      </c>
      <c r="BC47" s="76">
        <v>2.5002280885740413</v>
      </c>
      <c r="BD47" s="76">
        <v>2.5002280885740413</v>
      </c>
      <c r="BE47" s="76">
        <v>2.5002280885740413</v>
      </c>
      <c r="BF47" s="76">
        <v>2.5002280885740413</v>
      </c>
      <c r="BG47" s="76">
        <v>2.5002280885740413</v>
      </c>
      <c r="BH47" s="76">
        <v>2.5002280885740413</v>
      </c>
      <c r="BI47" s="76">
        <v>0.19469986555316066</v>
      </c>
      <c r="BJ47" s="76">
        <v>-0.10219713291257371</v>
      </c>
      <c r="BK47" s="76">
        <v>-0.10219713291257371</v>
      </c>
      <c r="BL47" s="76">
        <v>-0.10224648130574554</v>
      </c>
      <c r="BM47" s="76">
        <v>-0.29636931619871909</v>
      </c>
      <c r="BN47" s="76">
        <v>2.3939566385762667</v>
      </c>
      <c r="BO47" s="76">
        <v>2.6445575131233134</v>
      </c>
      <c r="BP47" s="76">
        <v>2.6435193710917959</v>
      </c>
      <c r="BQ47" s="76">
        <v>2.6435193710917959</v>
      </c>
      <c r="BR47" s="76">
        <v>2.6435193710917959</v>
      </c>
      <c r="BS47" s="76">
        <v>2.6435193710917959</v>
      </c>
      <c r="BT47" s="76">
        <v>2.6435193710917959</v>
      </c>
      <c r="BU47" s="76">
        <v>2.6435193710917959</v>
      </c>
      <c r="BV47" s="76">
        <v>2.9485766590261475</v>
      </c>
      <c r="BW47" s="76">
        <v>2.3296535182977918</v>
      </c>
      <c r="BX47" s="76">
        <v>2.3297040680228642</v>
      </c>
      <c r="BY47" s="76">
        <v>2.6521332876188186</v>
      </c>
      <c r="BZ47" s="76">
        <v>-4.4976068859126084E-2</v>
      </c>
      <c r="CA47" s="76">
        <v>-0.2890105994704073</v>
      </c>
      <c r="CB47" s="76">
        <v>-0.28800211720345636</v>
      </c>
      <c r="CC47" s="76">
        <v>-0.28800211720345636</v>
      </c>
      <c r="CD47" s="76">
        <v>-0.28800211720345636</v>
      </c>
      <c r="CE47" s="76">
        <v>-0.16819338432307873</v>
      </c>
      <c r="CF47" s="76">
        <v>-0.16819338432307873</v>
      </c>
      <c r="CG47" s="76">
        <v>-0.16819338432307873</v>
      </c>
      <c r="CH47" s="76">
        <v>0.56795919468495271</v>
      </c>
      <c r="CI47" s="76">
        <v>1.176227033198507</v>
      </c>
      <c r="CJ47" s="76">
        <v>1.176227033198507</v>
      </c>
      <c r="CK47" s="76">
        <v>0.85843361888557901</v>
      </c>
      <c r="CL47" s="76">
        <v>0.85843361888557901</v>
      </c>
      <c r="CM47" s="76">
        <v>1.380860572016207</v>
      </c>
      <c r="CN47" s="76">
        <v>1.380860572016207</v>
      </c>
      <c r="CO47" s="76">
        <v>0.95263170962101018</v>
      </c>
      <c r="CP47" s="76">
        <v>0.95254781316846948</v>
      </c>
      <c r="CQ47" s="76">
        <v>0.83139407224597228</v>
      </c>
      <c r="CR47" s="76">
        <v>0.83139407224597228</v>
      </c>
      <c r="CS47" s="76">
        <v>0.91543190232836746</v>
      </c>
      <c r="CT47" s="76">
        <v>0.17673583996922204</v>
      </c>
    </row>
    <row r="48" spans="1:98" ht="15.5" x14ac:dyDescent="0.35">
      <c r="A48" s="88"/>
      <c r="B48" s="43"/>
      <c r="C48" s="31" t="s">
        <v>119</v>
      </c>
      <c r="D48" s="40" t="s">
        <v>108</v>
      </c>
      <c r="E48" s="102">
        <f>VLOOKUP(C48,[1]CLASSI_EAI!A:G,7,FALSE)</f>
        <v>48.893660719388599</v>
      </c>
      <c r="F48" s="76">
        <v>-2.8938416599778916</v>
      </c>
      <c r="G48" s="76">
        <v>-7.2207304381843418</v>
      </c>
      <c r="H48" s="76">
        <v>-8.2610582464505917</v>
      </c>
      <c r="I48" s="76">
        <v>-4.0845021104959578</v>
      </c>
      <c r="J48" s="76">
        <v>-4.0845021104959578</v>
      </c>
      <c r="K48" s="76">
        <v>-3.119451664302586</v>
      </c>
      <c r="L48" s="76">
        <v>-4.224391835827868</v>
      </c>
      <c r="M48" s="76">
        <v>-4.8162869114434343</v>
      </c>
      <c r="N48" s="76">
        <v>-5.6638909771500545</v>
      </c>
      <c r="O48" s="76">
        <v>-6.8484424354343094</v>
      </c>
      <c r="P48" s="76">
        <v>-7.1404622055700635</v>
      </c>
      <c r="Q48" s="76">
        <v>-6.1913448630657619</v>
      </c>
      <c r="R48" s="76">
        <v>-4.4115679973700921</v>
      </c>
      <c r="S48" s="76">
        <v>-1.8328241776990772</v>
      </c>
      <c r="T48" s="76">
        <v>-1.1412353068042003</v>
      </c>
      <c r="U48" s="76">
        <v>-1.1412353068042003</v>
      </c>
      <c r="V48" s="76">
        <v>-1.1412353068042003</v>
      </c>
      <c r="W48" s="76">
        <v>-2.1259912419865024</v>
      </c>
      <c r="X48" s="76">
        <v>-2.1259912419865024</v>
      </c>
      <c r="Y48" s="76">
        <v>-2.6012930626726827</v>
      </c>
      <c r="Z48" s="76">
        <v>-2.6012930626726827</v>
      </c>
      <c r="AA48" s="76">
        <v>-2.6012930626726827</v>
      </c>
      <c r="AB48" s="76">
        <v>-2.2949987531498128</v>
      </c>
      <c r="AC48" s="76">
        <v>-2.2949987531498128</v>
      </c>
      <c r="AD48" s="76">
        <v>-2.2949987531498128</v>
      </c>
      <c r="AE48" s="76">
        <v>-0.21031262440774912</v>
      </c>
      <c r="AF48" s="76">
        <v>0.77799563454503673</v>
      </c>
      <c r="AG48" s="76">
        <v>0.77799563454503673</v>
      </c>
      <c r="AH48" s="76">
        <v>0.77799563454503673</v>
      </c>
      <c r="AI48" s="76">
        <v>9.7634402142032783E-2</v>
      </c>
      <c r="AJ48" s="76">
        <v>9.7634402142032783E-2</v>
      </c>
      <c r="AK48" s="76">
        <v>9.7634402142032783E-2</v>
      </c>
      <c r="AL48" s="76">
        <v>9.7634402142032783E-2</v>
      </c>
      <c r="AM48" s="76">
        <v>0.99487712757591051</v>
      </c>
      <c r="AN48" s="76">
        <v>0.61075171563143016</v>
      </c>
      <c r="AO48" s="76">
        <v>0.61075171563143016</v>
      </c>
      <c r="AP48" s="76">
        <v>0.61075171563143016</v>
      </c>
      <c r="AQ48" s="76">
        <v>0.39460867238867436</v>
      </c>
      <c r="AR48" s="76">
        <v>0.59018044179988127</v>
      </c>
      <c r="AS48" s="76">
        <v>0.59018044179988127</v>
      </c>
      <c r="AT48" s="76">
        <v>1.001648898027363</v>
      </c>
      <c r="AU48" s="76">
        <v>1.6881546953864124</v>
      </c>
      <c r="AV48" s="76">
        <v>1.6881546953864124</v>
      </c>
      <c r="AW48" s="76">
        <v>2.0622118905681663</v>
      </c>
      <c r="AX48" s="76">
        <v>6.9903512901469345</v>
      </c>
      <c r="AY48" s="76">
        <v>10.692889121701699</v>
      </c>
      <c r="AZ48" s="76">
        <v>13.66760860317282</v>
      </c>
      <c r="BA48" s="76">
        <v>12.54727522671355</v>
      </c>
      <c r="BB48" s="76">
        <v>11.633569093717533</v>
      </c>
      <c r="BC48" s="76">
        <v>11.633569093717533</v>
      </c>
      <c r="BD48" s="76">
        <v>10.794423029924083</v>
      </c>
      <c r="BE48" s="76">
        <v>10.794423029924083</v>
      </c>
      <c r="BF48" s="76">
        <v>10.343060000704995</v>
      </c>
      <c r="BG48" s="76">
        <v>10.343060000704995</v>
      </c>
      <c r="BH48" s="76">
        <v>10.343060000704995</v>
      </c>
      <c r="BI48" s="76">
        <v>9.9386535630325632</v>
      </c>
      <c r="BJ48" s="76">
        <v>4.8747108464474387</v>
      </c>
      <c r="BK48" s="76">
        <v>0.46623699636534344</v>
      </c>
      <c r="BL48" s="76">
        <v>1.5159979485352082</v>
      </c>
      <c r="BM48" s="76">
        <v>2.5265222861276859</v>
      </c>
      <c r="BN48" s="76">
        <v>3.3656884345193427</v>
      </c>
      <c r="BO48" s="76">
        <v>3.3656884345193427</v>
      </c>
      <c r="BP48" s="76">
        <v>3.3656884345193427</v>
      </c>
      <c r="BQ48" s="76">
        <v>3.3656884345193427</v>
      </c>
      <c r="BR48" s="76">
        <v>3.3656884345193427</v>
      </c>
      <c r="BS48" s="76">
        <v>3.3656884345193427</v>
      </c>
      <c r="BT48" s="76">
        <v>3.3656884345193427</v>
      </c>
      <c r="BU48" s="76">
        <v>3.3656884345193427</v>
      </c>
      <c r="BV48" s="76">
        <v>4.0791174502154748</v>
      </c>
      <c r="BW48" s="76">
        <v>6.535983234143572</v>
      </c>
      <c r="BX48" s="76">
        <v>3.0670668842229798</v>
      </c>
      <c r="BY48" s="76">
        <v>3.0670668842229798</v>
      </c>
      <c r="BZ48" s="76">
        <v>3.0670668842229798</v>
      </c>
      <c r="CA48" s="76">
        <v>3.0670668842229798</v>
      </c>
      <c r="CB48" s="76">
        <v>2.3162489466514558</v>
      </c>
      <c r="CC48" s="76">
        <v>2.3162489466514558</v>
      </c>
      <c r="CD48" s="76">
        <v>2.3162489466514558</v>
      </c>
      <c r="CE48" s="76">
        <v>2.3162489466514558</v>
      </c>
      <c r="CF48" s="76">
        <v>2.3162489466514558</v>
      </c>
      <c r="CG48" s="76">
        <v>2.3162489466514558</v>
      </c>
      <c r="CH48" s="76">
        <v>1.6149038299362983</v>
      </c>
      <c r="CI48" s="76">
        <v>-0.72847511845361979</v>
      </c>
      <c r="CJ48" s="76">
        <v>-0.72847511845361979</v>
      </c>
      <c r="CK48" s="76">
        <v>-0.72847511845361979</v>
      </c>
      <c r="CL48" s="76">
        <v>-1.7236266736584294</v>
      </c>
      <c r="CM48" s="76">
        <v>-2.0926221193231953</v>
      </c>
      <c r="CN48" s="76">
        <v>-1.3832097910087326</v>
      </c>
      <c r="CO48" s="76">
        <v>-1.9634428253911262</v>
      </c>
      <c r="CP48" s="76">
        <v>-1.9634428253911262</v>
      </c>
      <c r="CQ48" s="76">
        <v>-1.9634428253911262</v>
      </c>
      <c r="CR48" s="76">
        <v>-1.5939605260063772</v>
      </c>
      <c r="CS48" s="76">
        <v>-0.9038724611573512</v>
      </c>
      <c r="CT48" s="76">
        <v>1.0314054919770443</v>
      </c>
    </row>
    <row r="49" spans="1:98" ht="15.5" x14ac:dyDescent="0.35">
      <c r="A49" s="88"/>
      <c r="B49" s="43"/>
      <c r="C49" s="31" t="s">
        <v>120</v>
      </c>
      <c r="D49" s="40" t="s">
        <v>109</v>
      </c>
      <c r="E49" s="102">
        <f>VLOOKUP(C49,[1]CLASSI_EAI!A:G,7,FALSE)</f>
        <v>0.38398400372775099</v>
      </c>
      <c r="F49" s="76">
        <v>3.0827706314096037</v>
      </c>
      <c r="G49" s="76">
        <v>2.6851897144167136</v>
      </c>
      <c r="H49" s="76">
        <v>2.6305376608555475</v>
      </c>
      <c r="I49" s="76">
        <v>0.78416081189074394</v>
      </c>
      <c r="J49" s="76">
        <v>0.78416081189074394</v>
      </c>
      <c r="K49" s="76">
        <v>1.1197276535324541</v>
      </c>
      <c r="L49" s="76">
        <v>-0.24603380219121451</v>
      </c>
      <c r="M49" s="76">
        <v>-1.9540244335048751</v>
      </c>
      <c r="N49" s="76">
        <v>-2.859887684761997</v>
      </c>
      <c r="O49" s="76">
        <v>-3.791210470072004</v>
      </c>
      <c r="P49" s="76">
        <v>-3.0260949037882456</v>
      </c>
      <c r="Q49" s="76">
        <v>-2.8663781239053443</v>
      </c>
      <c r="R49" s="76">
        <v>-2.6817993576617294</v>
      </c>
      <c r="S49" s="76">
        <v>-2.5066833094867791</v>
      </c>
      <c r="T49" s="76">
        <v>-2.3538746214438078</v>
      </c>
      <c r="U49" s="76">
        <v>-4.3599004126004814E-2</v>
      </c>
      <c r="V49" s="76">
        <v>-4.3599004126004814E-2</v>
      </c>
      <c r="W49" s="76">
        <v>-0.32180965071858525</v>
      </c>
      <c r="X49" s="76">
        <v>-0.47810989720212804</v>
      </c>
      <c r="Y49" s="76">
        <v>-1.0846358183972948</v>
      </c>
      <c r="Z49" s="76">
        <v>-1.0846358183972948</v>
      </c>
      <c r="AA49" s="76">
        <v>-1.0846358183972948</v>
      </c>
      <c r="AB49" s="76">
        <v>-1.0414908939290979</v>
      </c>
      <c r="AC49" s="76">
        <v>-1.0414908939290979</v>
      </c>
      <c r="AD49" s="76">
        <v>-1.0414908939290979</v>
      </c>
      <c r="AE49" s="76">
        <v>-0.83677511519031356</v>
      </c>
      <c r="AF49" s="76">
        <v>-0.79883841389039034</v>
      </c>
      <c r="AG49" s="76">
        <v>-0.79883841389039034</v>
      </c>
      <c r="AH49" s="76">
        <v>-0.79883841389039034</v>
      </c>
      <c r="AI49" s="76">
        <v>-0.73492299770052671</v>
      </c>
      <c r="AJ49" s="76">
        <v>-0.5790260790764834</v>
      </c>
      <c r="AK49" s="76">
        <v>-3.7010094462475163E-2</v>
      </c>
      <c r="AL49" s="76">
        <v>-3.7010094462475163E-2</v>
      </c>
      <c r="AM49" s="76">
        <v>3.8750554869748655E-2</v>
      </c>
      <c r="AN49" s="76">
        <v>-3.5976219472488857E-3</v>
      </c>
      <c r="AO49" s="76">
        <v>-3.5976219472488857E-3</v>
      </c>
      <c r="AP49" s="76">
        <v>-3.5976219472488857E-3</v>
      </c>
      <c r="AQ49" s="76">
        <v>-3.5976219472488857E-3</v>
      </c>
      <c r="AR49" s="76">
        <v>4.1998995677761108E-2</v>
      </c>
      <c r="AS49" s="76">
        <v>4.1998995677761108E-2</v>
      </c>
      <c r="AT49" s="76">
        <v>4.1998995677761108E-2</v>
      </c>
      <c r="AU49" s="76">
        <v>0.11732540475606346</v>
      </c>
      <c r="AV49" s="76">
        <v>0.11732540475606346</v>
      </c>
      <c r="AW49" s="76">
        <v>0.11732540475606346</v>
      </c>
      <c r="AX49" s="76">
        <v>0.11732540475606346</v>
      </c>
      <c r="AY49" s="76">
        <v>4.1505249666151656E-2</v>
      </c>
      <c r="AZ49" s="76">
        <v>1.1972702717282457</v>
      </c>
      <c r="BA49" s="76">
        <v>1.1972702717282457</v>
      </c>
      <c r="BB49" s="76">
        <v>1.1972702717282457</v>
      </c>
      <c r="BC49" s="76">
        <v>1.1972702717282457</v>
      </c>
      <c r="BD49" s="76">
        <v>1.1124646920602554</v>
      </c>
      <c r="BE49" s="76">
        <v>1.1124646920602554</v>
      </c>
      <c r="BF49" s="76">
        <v>1.1124646920602554</v>
      </c>
      <c r="BG49" s="76">
        <v>2.2819660131196073</v>
      </c>
      <c r="BH49" s="76">
        <v>2.2819660131196073</v>
      </c>
      <c r="BI49" s="76">
        <v>2.2819660131196073</v>
      </c>
      <c r="BJ49" s="76">
        <v>2.2819660131196073</v>
      </c>
      <c r="BK49" s="76">
        <v>2.2819660131196073</v>
      </c>
      <c r="BL49" s="76">
        <v>1.156634174254445</v>
      </c>
      <c r="BM49" s="76">
        <v>1.156634174254445</v>
      </c>
      <c r="BN49" s="76">
        <v>1.156634174254445</v>
      </c>
      <c r="BO49" s="76">
        <v>1.156634174254445</v>
      </c>
      <c r="BP49" s="76">
        <v>1.156634174254445</v>
      </c>
      <c r="BQ49" s="76">
        <v>1.156634174254445</v>
      </c>
      <c r="BR49" s="76">
        <v>1.156634174254445</v>
      </c>
      <c r="BS49" s="76">
        <v>0</v>
      </c>
      <c r="BT49" s="76">
        <v>0</v>
      </c>
      <c r="BU49" s="76">
        <v>0</v>
      </c>
      <c r="BV49" s="76">
        <v>0</v>
      </c>
      <c r="BW49" s="76">
        <v>0</v>
      </c>
      <c r="BX49" s="76">
        <v>0</v>
      </c>
      <c r="BY49" s="76">
        <v>0</v>
      </c>
      <c r="BZ49" s="76">
        <v>0</v>
      </c>
      <c r="CA49" s="76">
        <v>0.31850803711184206</v>
      </c>
      <c r="CB49" s="76">
        <v>0.2344087880535195</v>
      </c>
      <c r="CC49" s="76">
        <v>0.2344087880535195</v>
      </c>
      <c r="CD49" s="76">
        <v>0.2344087880535195</v>
      </c>
      <c r="CE49" s="76">
        <v>0.2344087880535195</v>
      </c>
      <c r="CF49" s="76">
        <v>0.46936705090621089</v>
      </c>
      <c r="CG49" s="76">
        <v>0.46936705090621089</v>
      </c>
      <c r="CH49" s="76">
        <v>2.4882127892088102</v>
      </c>
      <c r="CI49" s="76">
        <v>2.4882127892088102</v>
      </c>
      <c r="CJ49" s="76">
        <v>2.4882127892088102</v>
      </c>
      <c r="CK49" s="76">
        <v>2.4882127892088102</v>
      </c>
      <c r="CL49" s="76">
        <v>2.4882127892088102</v>
      </c>
      <c r="CM49" s="76">
        <v>2.2555356121402248</v>
      </c>
      <c r="CN49" s="76">
        <v>2.3413306386287802</v>
      </c>
      <c r="CO49" s="76">
        <v>2.4610971795555825</v>
      </c>
      <c r="CP49" s="76">
        <v>2.4610971795555825</v>
      </c>
      <c r="CQ49" s="76">
        <v>2.4610971795555825</v>
      </c>
      <c r="CR49" s="76">
        <v>2.2214810447083178</v>
      </c>
      <c r="CS49" s="76">
        <v>2.2214810447083178</v>
      </c>
      <c r="CT49" s="76">
        <v>0.20788947399239532</v>
      </c>
    </row>
    <row r="50" spans="1:98" ht="15.5" x14ac:dyDescent="0.35">
      <c r="A50" s="83">
        <v>24</v>
      </c>
      <c r="B50" s="57"/>
      <c r="C50" s="57"/>
      <c r="D50" s="58" t="s">
        <v>25</v>
      </c>
      <c r="E50" s="106">
        <f>E51</f>
        <v>46.9277066066388</v>
      </c>
      <c r="F50" s="93">
        <v>21.135248879172643</v>
      </c>
      <c r="G50" s="93">
        <v>12.000122162930404</v>
      </c>
      <c r="H50" s="93">
        <v>6.996681582702724</v>
      </c>
      <c r="I50" s="93">
        <v>6.5812597385555005</v>
      </c>
      <c r="J50" s="93">
        <v>5.0015721899845156</v>
      </c>
      <c r="K50" s="93">
        <v>3.3241137434975698</v>
      </c>
      <c r="L50" s="93">
        <v>2.8073688554318688</v>
      </c>
      <c r="M50" s="93">
        <v>1.7879030357981884</v>
      </c>
      <c r="N50" s="93">
        <v>-2.6222234919670906</v>
      </c>
      <c r="O50" s="93">
        <v>-3.102401198249094</v>
      </c>
      <c r="P50" s="93">
        <v>-2.1578792692389159</v>
      </c>
      <c r="Q50" s="93">
        <v>-4.2805158382751562</v>
      </c>
      <c r="R50" s="93">
        <v>-5.3033910557666157</v>
      </c>
      <c r="S50" s="93">
        <v>-2.2615523412335747</v>
      </c>
      <c r="T50" s="93">
        <v>-2.8488046799750366</v>
      </c>
      <c r="U50" s="93">
        <v>-3.6938715247516241</v>
      </c>
      <c r="V50" s="93">
        <v>-2.546506706535856</v>
      </c>
      <c r="W50" s="93">
        <v>-2.1361159141626951</v>
      </c>
      <c r="X50" s="93">
        <v>0.87470981253232605</v>
      </c>
      <c r="Y50" s="93">
        <v>0.71366307307643151</v>
      </c>
      <c r="Z50" s="93">
        <v>2.0165129607556453</v>
      </c>
      <c r="AA50" s="93">
        <v>2.1331547614401147</v>
      </c>
      <c r="AB50" s="93">
        <v>2.2022369297362898</v>
      </c>
      <c r="AC50" s="93">
        <v>2.5350698899638813</v>
      </c>
      <c r="AD50" s="93">
        <v>3.7899080406710972</v>
      </c>
      <c r="AE50" s="93">
        <v>3.6695715422059738</v>
      </c>
      <c r="AF50" s="93">
        <v>4.5103948577186914</v>
      </c>
      <c r="AG50" s="93">
        <v>5.1865114775011545</v>
      </c>
      <c r="AH50" s="93">
        <v>4.6352107332715331</v>
      </c>
      <c r="AI50" s="93">
        <v>4.6940267293881899</v>
      </c>
      <c r="AJ50" s="93">
        <v>2.527987123461406</v>
      </c>
      <c r="AK50" s="93">
        <v>2.7785858462035629</v>
      </c>
      <c r="AL50" s="93">
        <v>1.9782485167371355</v>
      </c>
      <c r="AM50" s="93">
        <v>2.5815556266973738</v>
      </c>
      <c r="AN50" s="93">
        <v>2.2070044883710782</v>
      </c>
      <c r="AO50" s="93">
        <v>2.8696275139748151</v>
      </c>
      <c r="AP50" s="93">
        <v>1.9852420009953908</v>
      </c>
      <c r="AQ50" s="93">
        <v>2.9209067234742259</v>
      </c>
      <c r="AR50" s="93">
        <v>3.300575714619014</v>
      </c>
      <c r="AS50" s="93">
        <v>4.5340731200630424</v>
      </c>
      <c r="AT50" s="93">
        <v>5.0449089260911295</v>
      </c>
      <c r="AU50" s="93">
        <v>5.3319249819649528</v>
      </c>
      <c r="AV50" s="93">
        <v>4.4099803973808305</v>
      </c>
      <c r="AW50" s="93">
        <v>4.1844649313095506</v>
      </c>
      <c r="AX50" s="93">
        <v>6.7287214580616039</v>
      </c>
      <c r="AY50" s="93">
        <v>8.2475724889115032</v>
      </c>
      <c r="AZ50" s="93">
        <v>8.6175605957431465</v>
      </c>
      <c r="BA50" s="93">
        <v>8.2141378098769877</v>
      </c>
      <c r="BB50" s="93">
        <v>7.4591940392989331</v>
      </c>
      <c r="BC50" s="93">
        <v>6.1964703491154571</v>
      </c>
      <c r="BD50" s="93">
        <v>5.2422361937944029</v>
      </c>
      <c r="BE50" s="93">
        <v>3.8015646995579244</v>
      </c>
      <c r="BF50" s="93">
        <v>2.8832791736616459</v>
      </c>
      <c r="BG50" s="93">
        <v>1.2645710491639983</v>
      </c>
      <c r="BH50" s="93">
        <v>0.48322060982131099</v>
      </c>
      <c r="BI50" s="93">
        <v>7.0292752954803639E-2</v>
      </c>
      <c r="BJ50" s="93">
        <v>-2.6153719756908611</v>
      </c>
      <c r="BK50" s="93">
        <v>-4.7136300580793105</v>
      </c>
      <c r="BL50" s="93">
        <v>-5.2497434514949699</v>
      </c>
      <c r="BM50" s="93">
        <v>-6.2958764515343546</v>
      </c>
      <c r="BN50" s="93">
        <v>-6.6288442686213811</v>
      </c>
      <c r="BO50" s="93">
        <v>-5.9287823643823234</v>
      </c>
      <c r="BP50" s="93">
        <v>-5.3803303630991284</v>
      </c>
      <c r="BQ50" s="93">
        <v>-5.2907024990663913</v>
      </c>
      <c r="BR50" s="93">
        <v>-4.8418636969862376</v>
      </c>
      <c r="BS50" s="93">
        <v>-3.6479890595501496</v>
      </c>
      <c r="BT50" s="93">
        <v>-1.6365776230317652</v>
      </c>
      <c r="BU50" s="93">
        <v>-0.82440794135412165</v>
      </c>
      <c r="BV50" s="93">
        <v>-0.52157131662656786</v>
      </c>
      <c r="BW50" s="93">
        <v>-1.4854913628493227</v>
      </c>
      <c r="BX50" s="93">
        <v>-1.5665793497779301</v>
      </c>
      <c r="BY50" s="93">
        <v>-0.25565404959601024</v>
      </c>
      <c r="BZ50" s="93">
        <v>0.32047526227405587</v>
      </c>
      <c r="CA50" s="93">
        <v>0.12081593113855149</v>
      </c>
      <c r="CB50" s="93">
        <v>-0.99972812453114068</v>
      </c>
      <c r="CC50" s="93">
        <v>-0.71517353398052874</v>
      </c>
      <c r="CD50" s="93">
        <v>-0.79635047835820982</v>
      </c>
      <c r="CE50" s="93">
        <v>-1.1140216215018373</v>
      </c>
      <c r="CF50" s="93">
        <v>-2.3856939326692639</v>
      </c>
      <c r="CG50" s="93">
        <v>-2.8039889193767431</v>
      </c>
      <c r="CH50" s="93">
        <v>-3.4575590215069285</v>
      </c>
      <c r="CI50" s="93">
        <v>-2.6390152560091362</v>
      </c>
      <c r="CJ50" s="93">
        <v>-2.2004780729417361</v>
      </c>
      <c r="CK50" s="93">
        <v>-1.917482217756783</v>
      </c>
      <c r="CL50" s="93">
        <v>-2.0689039331967085</v>
      </c>
      <c r="CM50" s="93">
        <v>-3.1527978211257301</v>
      </c>
      <c r="CN50" s="93">
        <v>-2.6457841574635266</v>
      </c>
      <c r="CO50" s="93">
        <v>-2.7789265445049782</v>
      </c>
      <c r="CP50" s="93">
        <v>-3.3284573329721123</v>
      </c>
      <c r="CQ50" s="93">
        <v>-3.3943906066644214</v>
      </c>
      <c r="CR50" s="93">
        <v>-2.7365021676478474</v>
      </c>
      <c r="CS50" s="93">
        <v>-3.3918864709423291</v>
      </c>
      <c r="CT50" s="93">
        <v>-1.1840751849236053</v>
      </c>
    </row>
    <row r="51" spans="1:98" ht="15.5" x14ac:dyDescent="0.35">
      <c r="A51" s="88"/>
      <c r="B51" s="42">
        <v>241</v>
      </c>
      <c r="C51" s="31" t="s">
        <v>121</v>
      </c>
      <c r="D51" s="40" t="s">
        <v>122</v>
      </c>
      <c r="E51" s="102">
        <f>VLOOKUP(C51,[1]CLASSI_EAI!A:G,7,FALSE)</f>
        <v>46.9277066066388</v>
      </c>
      <c r="F51" s="75">
        <v>21.135248879172643</v>
      </c>
      <c r="G51" s="75">
        <v>12.000122162930404</v>
      </c>
      <c r="H51" s="75">
        <v>6.996681582702724</v>
      </c>
      <c r="I51" s="75">
        <v>6.5812597385555005</v>
      </c>
      <c r="J51" s="75">
        <v>5.0015721899845156</v>
      </c>
      <c r="K51" s="75">
        <v>3.3241137434975698</v>
      </c>
      <c r="L51" s="75">
        <v>2.8073688554318688</v>
      </c>
      <c r="M51" s="75">
        <v>1.7879030357981884</v>
      </c>
      <c r="N51" s="75">
        <v>-2.6222234919670906</v>
      </c>
      <c r="O51" s="75">
        <v>-3.102401198249094</v>
      </c>
      <c r="P51" s="75">
        <v>-2.1578792692389159</v>
      </c>
      <c r="Q51" s="75">
        <v>-4.2805158382751562</v>
      </c>
      <c r="R51" s="75">
        <v>-5.3033910557666157</v>
      </c>
      <c r="S51" s="75">
        <v>-2.2615523412335747</v>
      </c>
      <c r="T51" s="75">
        <v>-2.8488046799750366</v>
      </c>
      <c r="U51" s="75">
        <v>-3.6938715247516241</v>
      </c>
      <c r="V51" s="75">
        <v>-2.546506706535856</v>
      </c>
      <c r="W51" s="75">
        <v>-2.1361159141626951</v>
      </c>
      <c r="X51" s="75">
        <v>0.87470981253232605</v>
      </c>
      <c r="Y51" s="75">
        <v>0.71366307307643151</v>
      </c>
      <c r="Z51" s="75">
        <v>2.0165129607556453</v>
      </c>
      <c r="AA51" s="75">
        <v>2.1331547614401147</v>
      </c>
      <c r="AB51" s="75">
        <v>2.2022369297362898</v>
      </c>
      <c r="AC51" s="75">
        <v>2.5350698899638813</v>
      </c>
      <c r="AD51" s="75">
        <v>3.7899080406710972</v>
      </c>
      <c r="AE51" s="75">
        <v>3.6695715422059738</v>
      </c>
      <c r="AF51" s="75">
        <v>4.5103948577186914</v>
      </c>
      <c r="AG51" s="75">
        <v>5.1865114775011545</v>
      </c>
      <c r="AH51" s="75">
        <v>4.6352107332715331</v>
      </c>
      <c r="AI51" s="75">
        <v>4.6940267293881899</v>
      </c>
      <c r="AJ51" s="75">
        <v>2.527987123461406</v>
      </c>
      <c r="AK51" s="75">
        <v>2.7785858462035629</v>
      </c>
      <c r="AL51" s="75">
        <v>1.9782485167371355</v>
      </c>
      <c r="AM51" s="75">
        <v>2.5815556266973738</v>
      </c>
      <c r="AN51" s="75">
        <v>2.2070044883710782</v>
      </c>
      <c r="AO51" s="75">
        <v>2.8696275139748151</v>
      </c>
      <c r="AP51" s="75">
        <v>1.9852420009953908</v>
      </c>
      <c r="AQ51" s="75">
        <v>2.9209067234742259</v>
      </c>
      <c r="AR51" s="75">
        <v>3.300575714619014</v>
      </c>
      <c r="AS51" s="75">
        <v>4.5340731200630424</v>
      </c>
      <c r="AT51" s="75">
        <v>5.0449089260911295</v>
      </c>
      <c r="AU51" s="75">
        <v>5.3319249819649528</v>
      </c>
      <c r="AV51" s="75">
        <v>4.4099803973808305</v>
      </c>
      <c r="AW51" s="75">
        <v>4.1844649313095506</v>
      </c>
      <c r="AX51" s="75">
        <v>6.7287214580616039</v>
      </c>
      <c r="AY51" s="75">
        <v>8.2475724889115032</v>
      </c>
      <c r="AZ51" s="75">
        <v>8.6175605957431465</v>
      </c>
      <c r="BA51" s="75">
        <v>8.2141378098769877</v>
      </c>
      <c r="BB51" s="75">
        <v>7.4591940392989331</v>
      </c>
      <c r="BC51" s="75">
        <v>6.1964703491154571</v>
      </c>
      <c r="BD51" s="75">
        <v>5.2422361937944029</v>
      </c>
      <c r="BE51" s="75">
        <v>3.8015646995579244</v>
      </c>
      <c r="BF51" s="75">
        <v>2.8832791736616459</v>
      </c>
      <c r="BG51" s="75">
        <v>1.2645710491639983</v>
      </c>
      <c r="BH51" s="75">
        <v>0.48322060982131099</v>
      </c>
      <c r="BI51" s="75">
        <v>7.0292752954803639E-2</v>
      </c>
      <c r="BJ51" s="75">
        <v>-2.6153719756908611</v>
      </c>
      <c r="BK51" s="75">
        <v>-4.7136300580793105</v>
      </c>
      <c r="BL51" s="75">
        <v>-5.2497434514949699</v>
      </c>
      <c r="BM51" s="75">
        <v>-6.2958764515343546</v>
      </c>
      <c r="BN51" s="75">
        <v>-6.6288442686213811</v>
      </c>
      <c r="BO51" s="75">
        <v>-5.9287823643823234</v>
      </c>
      <c r="BP51" s="75">
        <v>-5.3803303630991284</v>
      </c>
      <c r="BQ51" s="75">
        <v>-5.2907024990663913</v>
      </c>
      <c r="BR51" s="75">
        <v>-4.8418636969862376</v>
      </c>
      <c r="BS51" s="75">
        <v>-3.6479890595501496</v>
      </c>
      <c r="BT51" s="75">
        <v>-1.6365776230317652</v>
      </c>
      <c r="BU51" s="75">
        <v>-0.82440794135412165</v>
      </c>
      <c r="BV51" s="75">
        <v>-0.52157131662656786</v>
      </c>
      <c r="BW51" s="75">
        <v>-1.4854913628493227</v>
      </c>
      <c r="BX51" s="75">
        <v>-1.5665793497779301</v>
      </c>
      <c r="BY51" s="75">
        <v>-0.25565404959601024</v>
      </c>
      <c r="BZ51" s="75">
        <v>0.32047526227405587</v>
      </c>
      <c r="CA51" s="75">
        <v>0.12081593113855149</v>
      </c>
      <c r="CB51" s="75">
        <v>-0.99972812453114068</v>
      </c>
      <c r="CC51" s="75">
        <v>-0.71517353398052874</v>
      </c>
      <c r="CD51" s="75">
        <v>-0.79635047835820982</v>
      </c>
      <c r="CE51" s="75">
        <v>-1.1140216215018373</v>
      </c>
      <c r="CF51" s="75">
        <v>-2.3856939326692639</v>
      </c>
      <c r="CG51" s="75">
        <v>-2.8039889193767431</v>
      </c>
      <c r="CH51" s="75">
        <v>-3.4575590215069285</v>
      </c>
      <c r="CI51" s="75">
        <v>-2.6390152560091362</v>
      </c>
      <c r="CJ51" s="75">
        <v>-2.2004780729417361</v>
      </c>
      <c r="CK51" s="75">
        <v>-1.917482217756783</v>
      </c>
      <c r="CL51" s="75">
        <v>-2.0689039331967085</v>
      </c>
      <c r="CM51" s="75">
        <v>-3.1527978211257301</v>
      </c>
      <c r="CN51" s="75">
        <v>-2.6457841574635266</v>
      </c>
      <c r="CO51" s="75">
        <v>-2.7789265445049782</v>
      </c>
      <c r="CP51" s="75">
        <v>-3.3284573329721123</v>
      </c>
      <c r="CQ51" s="75">
        <v>-3.3943906066644214</v>
      </c>
      <c r="CR51" s="75">
        <v>-2.7365021676478474</v>
      </c>
      <c r="CS51" s="75">
        <v>-3.3918864709423291</v>
      </c>
      <c r="CT51" s="75">
        <v>-1.1840751849236053</v>
      </c>
    </row>
    <row r="52" spans="1:98" ht="15.5" x14ac:dyDescent="0.35">
      <c r="A52" s="83">
        <v>25</v>
      </c>
      <c r="B52" s="44"/>
      <c r="C52" s="44"/>
      <c r="D52" s="45" t="s">
        <v>26</v>
      </c>
      <c r="E52" s="106">
        <f>E53</f>
        <v>31.266363843842001</v>
      </c>
      <c r="F52" s="93">
        <v>2.3887139333611085</v>
      </c>
      <c r="G52" s="93">
        <v>2.0842451168492371</v>
      </c>
      <c r="H52" s="93">
        <v>3.0673749384485527</v>
      </c>
      <c r="I52" s="93">
        <v>2.8870717415955927</v>
      </c>
      <c r="J52" s="93">
        <v>2.8602184794439101</v>
      </c>
      <c r="K52" s="93">
        <v>4.0035476338853515</v>
      </c>
      <c r="L52" s="93">
        <v>4.3388546707127551</v>
      </c>
      <c r="M52" s="93">
        <v>3.6181363132809619</v>
      </c>
      <c r="N52" s="93">
        <v>4.1134124023163521</v>
      </c>
      <c r="O52" s="93">
        <v>4.025374552828298</v>
      </c>
      <c r="P52" s="93">
        <v>4.0091306692684014</v>
      </c>
      <c r="Q52" s="93">
        <v>2.1007654992875047</v>
      </c>
      <c r="R52" s="93">
        <v>8.894706458401469</v>
      </c>
      <c r="S52" s="93">
        <v>9.1182524234521658</v>
      </c>
      <c r="T52" s="93">
        <v>7.958317625497191</v>
      </c>
      <c r="U52" s="93">
        <v>7.9016728022381688</v>
      </c>
      <c r="V52" s="93">
        <v>7.9336633874275364</v>
      </c>
      <c r="W52" s="93">
        <v>6.7068653751530594</v>
      </c>
      <c r="X52" s="93">
        <v>6.1933729433727658</v>
      </c>
      <c r="Y52" s="93">
        <v>6.5366035596505334</v>
      </c>
      <c r="Z52" s="93">
        <v>7.001198042507939</v>
      </c>
      <c r="AA52" s="93">
        <v>6.7588680587031602</v>
      </c>
      <c r="AB52" s="93">
        <v>6.4549027281997295</v>
      </c>
      <c r="AC52" s="93">
        <v>6.2354226220339593</v>
      </c>
      <c r="AD52" s="93">
        <v>0.15622481794170806</v>
      </c>
      <c r="AE52" s="93">
        <v>-0.13694619179378531</v>
      </c>
      <c r="AF52" s="93">
        <v>0.27466343130664317</v>
      </c>
      <c r="AG52" s="93">
        <v>0.32497117594108005</v>
      </c>
      <c r="AH52" s="93">
        <v>1.0264826843522812</v>
      </c>
      <c r="AI52" s="93">
        <v>0.7046284191916774</v>
      </c>
      <c r="AJ52" s="93">
        <v>2.104225168392837</v>
      </c>
      <c r="AK52" s="93">
        <v>2.0565042953482715</v>
      </c>
      <c r="AL52" s="93">
        <v>0.78270955920018981</v>
      </c>
      <c r="AM52" s="93">
        <v>0.11655567734054628</v>
      </c>
      <c r="AN52" s="93">
        <v>-0.86401908478557221</v>
      </c>
      <c r="AO52" s="93">
        <v>-0.36898640844660324</v>
      </c>
      <c r="AP52" s="93">
        <v>-0.7751911178891846</v>
      </c>
      <c r="AQ52" s="93">
        <v>-1.0488005920575749</v>
      </c>
      <c r="AR52" s="93">
        <v>-1.3509952941257342</v>
      </c>
      <c r="AS52" s="93">
        <v>-1.0209751045854754</v>
      </c>
      <c r="AT52" s="93">
        <v>-2.0872042994285023</v>
      </c>
      <c r="AU52" s="93">
        <v>-1.496086852594658</v>
      </c>
      <c r="AV52" s="93">
        <v>-1.844058502392476</v>
      </c>
      <c r="AW52" s="93">
        <v>2.5083457328989311E-2</v>
      </c>
      <c r="AX52" s="93">
        <v>1.2634170087763685</v>
      </c>
      <c r="AY52" s="93">
        <v>1.5396186617886887</v>
      </c>
      <c r="AZ52" s="93">
        <v>5.7265162922603308</v>
      </c>
      <c r="BA52" s="93">
        <v>7.4360280330105999</v>
      </c>
      <c r="BB52" s="93">
        <v>9.1604173283275294</v>
      </c>
      <c r="BC52" s="93">
        <v>10.107579455133852</v>
      </c>
      <c r="BD52" s="93">
        <v>11.185951133760309</v>
      </c>
      <c r="BE52" s="93">
        <v>9.8445694231435343</v>
      </c>
      <c r="BF52" s="93">
        <v>9.4165526639610633</v>
      </c>
      <c r="BG52" s="93">
        <v>8.4237895695081111</v>
      </c>
      <c r="BH52" s="93">
        <v>10.22394645258986</v>
      </c>
      <c r="BI52" s="93">
        <v>8.8124143548599108</v>
      </c>
      <c r="BJ52" s="93">
        <v>8.3370299260856271</v>
      </c>
      <c r="BK52" s="93">
        <v>8.6071067519249524</v>
      </c>
      <c r="BL52" s="93">
        <v>5.051147239105358</v>
      </c>
      <c r="BM52" s="93">
        <v>3.266780112206491</v>
      </c>
      <c r="BN52" s="93">
        <v>1.8908345955021</v>
      </c>
      <c r="BO52" s="93">
        <v>1.9856316056193757</v>
      </c>
      <c r="BP52" s="93">
        <v>1.701800084345706</v>
      </c>
      <c r="BQ52" s="93">
        <v>1.8977587777244675</v>
      </c>
      <c r="BR52" s="93">
        <v>2.7832876127229289</v>
      </c>
      <c r="BS52" s="93">
        <v>3.6598369169570821</v>
      </c>
      <c r="BT52" s="93">
        <v>1.1741214847571957</v>
      </c>
      <c r="BU52" s="93">
        <v>1.5082306165527859</v>
      </c>
      <c r="BV52" s="93">
        <v>1.395287737630091</v>
      </c>
      <c r="BW52" s="93">
        <v>2.4170494569114132</v>
      </c>
      <c r="BX52" s="93">
        <v>2.2330280107729861</v>
      </c>
      <c r="BY52" s="93">
        <v>1.9479233841775301</v>
      </c>
      <c r="BZ52" s="93">
        <v>2.0211705505226885</v>
      </c>
      <c r="CA52" s="93">
        <v>0.66622286772488604</v>
      </c>
      <c r="CB52" s="93">
        <v>-0.10186985025500972</v>
      </c>
      <c r="CC52" s="93">
        <v>-0.27270004330648412</v>
      </c>
      <c r="CD52" s="93">
        <v>-1.0528984440663303</v>
      </c>
      <c r="CE52" s="93">
        <v>-1.2186200311027684</v>
      </c>
      <c r="CF52" s="93">
        <v>-1.2044506845181213</v>
      </c>
      <c r="CG52" s="93">
        <v>-2.1606241334534704</v>
      </c>
      <c r="CH52" s="93">
        <v>-2.9368361449899738</v>
      </c>
      <c r="CI52" s="93">
        <v>-3.8994629528286695</v>
      </c>
      <c r="CJ52" s="93">
        <v>-3.7299232936615745</v>
      </c>
      <c r="CK52" s="93">
        <v>-3.7856800679152425</v>
      </c>
      <c r="CL52" s="93">
        <v>-3.5287752337823775</v>
      </c>
      <c r="CM52" s="93">
        <v>-2.868116126894027</v>
      </c>
      <c r="CN52" s="93">
        <v>-3.4507144516010668</v>
      </c>
      <c r="CO52" s="93">
        <v>-3.5022320065373314</v>
      </c>
      <c r="CP52" s="93">
        <v>-1.3685189505268647</v>
      </c>
      <c r="CQ52" s="93">
        <v>-1.1851975492615074</v>
      </c>
      <c r="CR52" s="93">
        <v>-1.6675434743996687</v>
      </c>
      <c r="CS52" s="93">
        <v>-1.4477250974274991</v>
      </c>
      <c r="CT52" s="93">
        <v>0.83498776825228216</v>
      </c>
    </row>
    <row r="53" spans="1:98" ht="15.5" x14ac:dyDescent="0.35">
      <c r="A53" s="88"/>
      <c r="B53" s="42">
        <v>259</v>
      </c>
      <c r="C53" s="31" t="s">
        <v>123</v>
      </c>
      <c r="D53" s="40" t="s">
        <v>124</v>
      </c>
      <c r="E53" s="102">
        <f>VLOOKUP(C53,[1]CLASSI_EAI!A:G,7,FALSE)</f>
        <v>31.266363843842001</v>
      </c>
      <c r="F53" s="75">
        <v>2.3887139333611085</v>
      </c>
      <c r="G53" s="75">
        <v>2.0842451168492371</v>
      </c>
      <c r="H53" s="75">
        <v>3.0673749384485527</v>
      </c>
      <c r="I53" s="75">
        <v>2.8870717415955927</v>
      </c>
      <c r="J53" s="75">
        <v>2.8602184794439101</v>
      </c>
      <c r="K53" s="75">
        <v>4.0035476338853515</v>
      </c>
      <c r="L53" s="75">
        <v>4.3388546707127551</v>
      </c>
      <c r="M53" s="75">
        <v>3.6181363132809619</v>
      </c>
      <c r="N53" s="75">
        <v>4.1134124023163521</v>
      </c>
      <c r="O53" s="75">
        <v>4.025374552828298</v>
      </c>
      <c r="P53" s="75">
        <v>4.0091306692684014</v>
      </c>
      <c r="Q53" s="75">
        <v>2.1007654992875047</v>
      </c>
      <c r="R53" s="75">
        <v>8.894706458401469</v>
      </c>
      <c r="S53" s="75">
        <v>9.1182524234521658</v>
      </c>
      <c r="T53" s="75">
        <v>7.958317625497191</v>
      </c>
      <c r="U53" s="75">
        <v>7.9016728022381688</v>
      </c>
      <c r="V53" s="75">
        <v>7.9336633874275364</v>
      </c>
      <c r="W53" s="75">
        <v>6.7068653751530594</v>
      </c>
      <c r="X53" s="75">
        <v>6.1933729433727658</v>
      </c>
      <c r="Y53" s="75">
        <v>6.5366035596505334</v>
      </c>
      <c r="Z53" s="75">
        <v>7.001198042507939</v>
      </c>
      <c r="AA53" s="75">
        <v>6.7588680587031602</v>
      </c>
      <c r="AB53" s="75">
        <v>6.4549027281997295</v>
      </c>
      <c r="AC53" s="75">
        <v>6.2354226220339593</v>
      </c>
      <c r="AD53" s="75">
        <v>0.15622481794170806</v>
      </c>
      <c r="AE53" s="75">
        <v>-0.13694619179378531</v>
      </c>
      <c r="AF53" s="75">
        <v>0.27466343130664317</v>
      </c>
      <c r="AG53" s="75">
        <v>0.32497117594108005</v>
      </c>
      <c r="AH53" s="75">
        <v>1.0264826843522812</v>
      </c>
      <c r="AI53" s="75">
        <v>0.7046284191916774</v>
      </c>
      <c r="AJ53" s="75">
        <v>2.104225168392837</v>
      </c>
      <c r="AK53" s="75">
        <v>2.0565042953482715</v>
      </c>
      <c r="AL53" s="75">
        <v>0.78270955920018981</v>
      </c>
      <c r="AM53" s="75">
        <v>0.11655567734054628</v>
      </c>
      <c r="AN53" s="75">
        <v>-0.86401908478557221</v>
      </c>
      <c r="AO53" s="75">
        <v>-0.36898640844660324</v>
      </c>
      <c r="AP53" s="75">
        <v>-0.7751911178891846</v>
      </c>
      <c r="AQ53" s="75">
        <v>-1.0488005920575749</v>
      </c>
      <c r="AR53" s="75">
        <v>-1.3509952941257342</v>
      </c>
      <c r="AS53" s="75">
        <v>-1.0209751045854754</v>
      </c>
      <c r="AT53" s="75">
        <v>-2.0872042994285023</v>
      </c>
      <c r="AU53" s="75">
        <v>-1.496086852594658</v>
      </c>
      <c r="AV53" s="75">
        <v>-1.844058502392476</v>
      </c>
      <c r="AW53" s="75">
        <v>2.5083457328989311E-2</v>
      </c>
      <c r="AX53" s="75">
        <v>1.2634170087763685</v>
      </c>
      <c r="AY53" s="75">
        <v>1.5396186617886887</v>
      </c>
      <c r="AZ53" s="75">
        <v>5.7265162922603308</v>
      </c>
      <c r="BA53" s="75">
        <v>7.4360280330105999</v>
      </c>
      <c r="BB53" s="75">
        <v>9.1604173283275294</v>
      </c>
      <c r="BC53" s="75">
        <v>10.107579455133852</v>
      </c>
      <c r="BD53" s="75">
        <v>11.185951133760309</v>
      </c>
      <c r="BE53" s="75">
        <v>9.8445694231435343</v>
      </c>
      <c r="BF53" s="75">
        <v>9.4165526639610633</v>
      </c>
      <c r="BG53" s="75">
        <v>8.4237895695081111</v>
      </c>
      <c r="BH53" s="75">
        <v>10.22394645258986</v>
      </c>
      <c r="BI53" s="75">
        <v>8.8124143548599108</v>
      </c>
      <c r="BJ53" s="75">
        <v>8.3370299260856271</v>
      </c>
      <c r="BK53" s="75">
        <v>8.6071067519249524</v>
      </c>
      <c r="BL53" s="75">
        <v>5.051147239105358</v>
      </c>
      <c r="BM53" s="75">
        <v>3.266780112206491</v>
      </c>
      <c r="BN53" s="75">
        <v>1.8908345955021</v>
      </c>
      <c r="BO53" s="75">
        <v>1.9856316056193757</v>
      </c>
      <c r="BP53" s="75">
        <v>1.701800084345706</v>
      </c>
      <c r="BQ53" s="75">
        <v>1.8977587777244675</v>
      </c>
      <c r="BR53" s="75">
        <v>2.7832876127229289</v>
      </c>
      <c r="BS53" s="75">
        <v>3.6598369169570821</v>
      </c>
      <c r="BT53" s="75">
        <v>1.1741214847571957</v>
      </c>
      <c r="BU53" s="75">
        <v>1.5082306165527859</v>
      </c>
      <c r="BV53" s="75">
        <v>1.395287737630091</v>
      </c>
      <c r="BW53" s="75">
        <v>2.4170494569114132</v>
      </c>
      <c r="BX53" s="75">
        <v>2.2330280107729861</v>
      </c>
      <c r="BY53" s="75">
        <v>1.9479233841775301</v>
      </c>
      <c r="BZ53" s="75">
        <v>2.0211705505226885</v>
      </c>
      <c r="CA53" s="75">
        <v>0.66622286772488604</v>
      </c>
      <c r="CB53" s="75">
        <v>-0.10186985025500972</v>
      </c>
      <c r="CC53" s="75">
        <v>-0.27270004330648412</v>
      </c>
      <c r="CD53" s="75">
        <v>-1.0528984440663303</v>
      </c>
      <c r="CE53" s="75">
        <v>-1.2186200311027684</v>
      </c>
      <c r="CF53" s="75">
        <v>-1.2044506845181213</v>
      </c>
      <c r="CG53" s="75">
        <v>-2.1606241334534704</v>
      </c>
      <c r="CH53" s="75">
        <v>-2.9368361449899738</v>
      </c>
      <c r="CI53" s="75">
        <v>-3.8994629528286695</v>
      </c>
      <c r="CJ53" s="75">
        <v>-3.7299232936615745</v>
      </c>
      <c r="CK53" s="75">
        <v>-3.7856800679152425</v>
      </c>
      <c r="CL53" s="75">
        <v>-3.5287752337823775</v>
      </c>
      <c r="CM53" s="75">
        <v>-2.868116126894027</v>
      </c>
      <c r="CN53" s="75">
        <v>-3.4507144516010668</v>
      </c>
      <c r="CO53" s="75">
        <v>-3.5022320065373314</v>
      </c>
      <c r="CP53" s="75">
        <v>-1.3685189505268647</v>
      </c>
      <c r="CQ53" s="75">
        <v>-1.1851975492615074</v>
      </c>
      <c r="CR53" s="75">
        <v>-1.6675434743996687</v>
      </c>
      <c r="CS53" s="75">
        <v>-1.4477250974274991</v>
      </c>
      <c r="CT53" s="75">
        <v>0.83498776825228216</v>
      </c>
    </row>
    <row r="54" spans="1:98" ht="15.5" x14ac:dyDescent="0.35">
      <c r="A54" s="83">
        <v>27</v>
      </c>
      <c r="B54" s="44"/>
      <c r="C54" s="44"/>
      <c r="D54" s="45" t="s">
        <v>27</v>
      </c>
      <c r="E54" s="101">
        <f>E55+E56</f>
        <v>3.75159979771992</v>
      </c>
      <c r="F54" s="70">
        <v>-2.2769844335632672</v>
      </c>
      <c r="G54" s="70">
        <v>-0.48390486021804291</v>
      </c>
      <c r="H54" s="70">
        <v>6.7203190283362302</v>
      </c>
      <c r="I54" s="70">
        <v>6.6820465355181158</v>
      </c>
      <c r="J54" s="70">
        <v>6.7655195347853692</v>
      </c>
      <c r="K54" s="70">
        <v>6.760256817178889</v>
      </c>
      <c r="L54" s="70">
        <v>6.7422669290295723</v>
      </c>
      <c r="M54" s="70">
        <v>2.4892894130659426</v>
      </c>
      <c r="N54" s="70">
        <v>2.4952372748280327</v>
      </c>
      <c r="O54" s="70">
        <v>2.2655138712379008</v>
      </c>
      <c r="P54" s="70">
        <v>2.2645421070575988</v>
      </c>
      <c r="Q54" s="70">
        <v>2.1781170423882168</v>
      </c>
      <c r="R54" s="70">
        <v>1.8877013576015012</v>
      </c>
      <c r="S54" s="70">
        <v>4.7393556499875089E-2</v>
      </c>
      <c r="T54" s="70">
        <v>-2.6609620161544001E-3</v>
      </c>
      <c r="U54" s="70">
        <v>-1.0360901110725185</v>
      </c>
      <c r="V54" s="70">
        <v>-1.0142781316618721</v>
      </c>
      <c r="W54" s="70">
        <v>-1.0119273386886229</v>
      </c>
      <c r="X54" s="70">
        <v>-1.0029171210834242</v>
      </c>
      <c r="Y54" s="70">
        <v>-1.0554518801672574</v>
      </c>
      <c r="Z54" s="70">
        <v>-1.0200433881997539</v>
      </c>
      <c r="AA54" s="70">
        <v>-1.0300945477244916</v>
      </c>
      <c r="AB54" s="70">
        <v>-1.042798669973044</v>
      </c>
      <c r="AC54" s="70">
        <v>-1.0523362096460542</v>
      </c>
      <c r="AD54" s="70">
        <v>-1.050851712015699</v>
      </c>
      <c r="AE54" s="70">
        <v>-1.0640976561501536</v>
      </c>
      <c r="AF54" s="70">
        <v>-4.6612336381607999</v>
      </c>
      <c r="AG54" s="70">
        <v>-3.6393361068907781</v>
      </c>
      <c r="AH54" s="70">
        <v>-3.6452971758235586</v>
      </c>
      <c r="AI54" s="70">
        <v>-3.6590603065374427</v>
      </c>
      <c r="AJ54" s="70">
        <v>-2.7068444122891999</v>
      </c>
      <c r="AK54" s="70">
        <v>-0.96887158108088789</v>
      </c>
      <c r="AL54" s="70">
        <v>-1.0257570606794442</v>
      </c>
      <c r="AM54" s="70">
        <v>5.3913297074582811</v>
      </c>
      <c r="AN54" s="70">
        <v>5.3388789284006366</v>
      </c>
      <c r="AO54" s="70">
        <v>6.7665854992536634</v>
      </c>
      <c r="AP54" s="70">
        <v>6.7932000737466636</v>
      </c>
      <c r="AQ54" s="70">
        <v>7.0312165661024828</v>
      </c>
      <c r="AR54" s="70">
        <v>11.076220553795091</v>
      </c>
      <c r="AS54" s="70">
        <v>11.096788395447742</v>
      </c>
      <c r="AT54" s="70">
        <v>11.081637284706636</v>
      </c>
      <c r="AU54" s="70">
        <v>11.446855011710589</v>
      </c>
      <c r="AV54" s="70">
        <v>10.333786488052032</v>
      </c>
      <c r="AW54" s="70">
        <v>8.3999212786995514</v>
      </c>
      <c r="AX54" s="70">
        <v>8.4028867938221286</v>
      </c>
      <c r="AY54" s="70">
        <v>3.5397007497709687</v>
      </c>
      <c r="AZ54" s="70">
        <v>3.6235756051899104</v>
      </c>
      <c r="BA54" s="70">
        <v>2.3436991484127034</v>
      </c>
      <c r="BB54" s="70">
        <v>2.3638626191313294</v>
      </c>
      <c r="BC54" s="70">
        <v>2.1774080802018814</v>
      </c>
      <c r="BD54" s="70">
        <v>2.1773512389188454</v>
      </c>
      <c r="BE54" s="70">
        <v>2.1414356450146554</v>
      </c>
      <c r="BF54" s="70">
        <v>4.9868300689046352</v>
      </c>
      <c r="BG54" s="70">
        <v>4.6255237219889667</v>
      </c>
      <c r="BH54" s="70">
        <v>4.8058558076286673</v>
      </c>
      <c r="BI54" s="70">
        <v>4.8007053840999347</v>
      </c>
      <c r="BJ54" s="70">
        <v>4.8388143090849711</v>
      </c>
      <c r="BK54" s="70">
        <v>3.0731404810367513</v>
      </c>
      <c r="BL54" s="70">
        <v>3.0273936642352117</v>
      </c>
      <c r="BM54" s="70">
        <v>1.5980870993377749</v>
      </c>
      <c r="BN54" s="70">
        <v>1.5407424735401909</v>
      </c>
      <c r="BO54" s="70">
        <v>1.5324992369171397</v>
      </c>
      <c r="BP54" s="70">
        <v>1.5673550490696186</v>
      </c>
      <c r="BQ54" s="70">
        <v>1.5801279281296265</v>
      </c>
      <c r="BR54" s="70">
        <v>-1.1383038385042288</v>
      </c>
      <c r="BS54" s="70">
        <v>-1.0967576888771369</v>
      </c>
      <c r="BT54" s="70">
        <v>-1.2349794138502901</v>
      </c>
      <c r="BU54" s="70">
        <v>-0.95938088712564928</v>
      </c>
      <c r="BV54" s="70">
        <v>-0.98249310160174463</v>
      </c>
      <c r="BW54" s="70">
        <v>-1.0260062216173038</v>
      </c>
      <c r="BX54" s="70">
        <v>-1.0346392156421635</v>
      </c>
      <c r="BY54" s="70">
        <v>0.91406442231218854</v>
      </c>
      <c r="BZ54" s="70">
        <v>0.91741254958654928</v>
      </c>
      <c r="CA54" s="70">
        <v>0.91107604107403262</v>
      </c>
      <c r="CB54" s="70">
        <v>-0.26354203719582969</v>
      </c>
      <c r="CC54" s="70">
        <v>-0.30078214418928217</v>
      </c>
      <c r="CD54" s="70">
        <v>-0.31005846777332202</v>
      </c>
      <c r="CE54" s="70">
        <v>-0.31820264547685051</v>
      </c>
      <c r="CF54" s="70">
        <v>0.128677008369249</v>
      </c>
      <c r="CG54" s="70">
        <v>-0.15174154375429127</v>
      </c>
      <c r="CH54" s="70">
        <v>1.2884285983323585</v>
      </c>
      <c r="CI54" s="70">
        <v>1.3332599132152456</v>
      </c>
      <c r="CJ54" s="70">
        <v>1.3418958913163026</v>
      </c>
      <c r="CK54" s="70">
        <v>0.67891407887037403</v>
      </c>
      <c r="CL54" s="70">
        <v>0.69205966181562495</v>
      </c>
      <c r="CM54" s="70">
        <v>0.66634801198734994</v>
      </c>
      <c r="CN54" s="70">
        <v>1.784255894553799</v>
      </c>
      <c r="CO54" s="70">
        <v>1.7818733866981518</v>
      </c>
      <c r="CP54" s="70">
        <v>1.8492222599182595</v>
      </c>
      <c r="CQ54" s="70">
        <v>2.3224376282395376</v>
      </c>
      <c r="CR54" s="70">
        <v>1.8422582281923283</v>
      </c>
      <c r="CS54" s="70">
        <v>5.5896704655854723</v>
      </c>
      <c r="CT54" s="70">
        <v>4.1848823830517023</v>
      </c>
    </row>
    <row r="55" spans="1:98" ht="15.5" x14ac:dyDescent="0.35">
      <c r="A55" s="88"/>
      <c r="B55" s="42">
        <v>272</v>
      </c>
      <c r="C55" s="37">
        <v>2720</v>
      </c>
      <c r="D55" s="40" t="s">
        <v>115</v>
      </c>
      <c r="E55" s="102">
        <f>[1]CLASSI_EAI!G995</f>
        <v>1.6583732048118001</v>
      </c>
      <c r="F55" s="75">
        <v>8.9729994597207643</v>
      </c>
      <c r="G55" s="75">
        <v>13.124567991193125</v>
      </c>
      <c r="H55" s="75">
        <v>13.124567991193125</v>
      </c>
      <c r="I55" s="75">
        <v>13.124567991193125</v>
      </c>
      <c r="J55" s="75">
        <v>13.124567991193125</v>
      </c>
      <c r="K55" s="75">
        <v>13.124567991193125</v>
      </c>
      <c r="L55" s="75">
        <v>13.124567991193125</v>
      </c>
      <c r="M55" s="75">
        <v>3.8097221807745996</v>
      </c>
      <c r="N55" s="75">
        <v>3.8097221807745996</v>
      </c>
      <c r="O55" s="75">
        <v>3.8097221807745996</v>
      </c>
      <c r="P55" s="75">
        <v>3.8097221807745996</v>
      </c>
      <c r="Q55" s="75">
        <v>3.8097221807745996</v>
      </c>
      <c r="R55" s="75">
        <v>3.8097221807745996</v>
      </c>
      <c r="S55" s="75">
        <v>0</v>
      </c>
      <c r="T55" s="75">
        <v>0</v>
      </c>
      <c r="U55" s="75">
        <v>-2.1312221300011314</v>
      </c>
      <c r="V55" s="75">
        <v>-2.1312221300011314</v>
      </c>
      <c r="W55" s="75">
        <v>-2.1312221300011314</v>
      </c>
      <c r="X55" s="75">
        <v>-2.1312221300011314</v>
      </c>
      <c r="Y55" s="75">
        <v>-2.1312221300011314</v>
      </c>
      <c r="Z55" s="75">
        <v>-2.1312221300011314</v>
      </c>
      <c r="AA55" s="75">
        <v>-2.1312221300011314</v>
      </c>
      <c r="AB55" s="75">
        <v>-2.1312221300011314</v>
      </c>
      <c r="AC55" s="75">
        <v>-2.1312221300011314</v>
      </c>
      <c r="AD55" s="75">
        <v>-2.1312221300011314</v>
      </c>
      <c r="AE55" s="75">
        <v>-2.1312221300011314</v>
      </c>
      <c r="AF55" s="75">
        <v>-9.4202080217864577</v>
      </c>
      <c r="AG55" s="75">
        <v>-7.4477132037629286</v>
      </c>
      <c r="AH55" s="75">
        <v>-7.4477132037629286</v>
      </c>
      <c r="AI55" s="75">
        <v>-7.4477132037629286</v>
      </c>
      <c r="AJ55" s="75">
        <v>-7.4477132037629286</v>
      </c>
      <c r="AK55" s="75">
        <v>-7.4477132037629286</v>
      </c>
      <c r="AL55" s="75">
        <v>-7.4477132037629286</v>
      </c>
      <c r="AM55" s="75">
        <v>-7.4477132037629286</v>
      </c>
      <c r="AN55" s="75">
        <v>-7.4477132037629286</v>
      </c>
      <c r="AO55" s="75">
        <v>-7.4477132037629286</v>
      </c>
      <c r="AP55" s="75">
        <v>-7.4477132037629286</v>
      </c>
      <c r="AQ55" s="75">
        <v>-7.4477132037629286</v>
      </c>
      <c r="AR55" s="75">
        <v>0</v>
      </c>
      <c r="AS55" s="75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3.9991924501779241</v>
      </c>
      <c r="AZ55" s="75">
        <v>3.9991924501779241</v>
      </c>
      <c r="BA55" s="75">
        <v>3.9991924501779241</v>
      </c>
      <c r="BB55" s="75">
        <v>3.9991924501779241</v>
      </c>
      <c r="BC55" s="75">
        <v>3.9991924501779463</v>
      </c>
      <c r="BD55" s="75">
        <v>3.9991924501779463</v>
      </c>
      <c r="BE55" s="75">
        <v>3.9991924501779463</v>
      </c>
      <c r="BF55" s="75">
        <v>10.750332452419764</v>
      </c>
      <c r="BG55" s="75">
        <v>10.750332452419764</v>
      </c>
      <c r="BH55" s="75">
        <v>11.12829795943413</v>
      </c>
      <c r="BI55" s="75">
        <v>11.12829795943413</v>
      </c>
      <c r="BJ55" s="75">
        <v>11.12829795943413</v>
      </c>
      <c r="BK55" s="75">
        <v>6.8549623716275487</v>
      </c>
      <c r="BL55" s="75">
        <v>6.8549623716275487</v>
      </c>
      <c r="BM55" s="75">
        <v>6.8549623716275487</v>
      </c>
      <c r="BN55" s="75">
        <v>6.8549623716275487</v>
      </c>
      <c r="BO55" s="75">
        <v>6.8549623716275043</v>
      </c>
      <c r="BP55" s="75">
        <v>6.8549623716275043</v>
      </c>
      <c r="BQ55" s="75">
        <v>6.8549623716275043</v>
      </c>
      <c r="BR55" s="75">
        <v>0.34127708571596305</v>
      </c>
      <c r="BS55" s="75">
        <v>0.34127708571596305</v>
      </c>
      <c r="BT55" s="75">
        <v>0</v>
      </c>
      <c r="BU55" s="75">
        <v>0</v>
      </c>
      <c r="BV55" s="75">
        <v>0</v>
      </c>
      <c r="BW55" s="75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-1.1102230246251565E-14</v>
      </c>
      <c r="CG55" s="75">
        <v>-1.1102230246251565E-14</v>
      </c>
      <c r="CH55" s="75">
        <v>2.2204460492503131E-14</v>
      </c>
      <c r="CI55" s="75">
        <v>2.2204460492503131E-14</v>
      </c>
      <c r="CJ55" s="75">
        <v>2.2204460492503131E-14</v>
      </c>
      <c r="CK55" s="75">
        <v>2.2204460492503131E-14</v>
      </c>
      <c r="CL55" s="75">
        <v>2.2204460492503131E-14</v>
      </c>
      <c r="CM55" s="75">
        <v>2.2204460492503131E-14</v>
      </c>
      <c r="CN55" s="75">
        <v>2.2204460492503131E-14</v>
      </c>
      <c r="CO55" s="75">
        <v>2.2204460492503131E-14</v>
      </c>
      <c r="CP55" s="75">
        <v>2.2204460492503131E-14</v>
      </c>
      <c r="CQ55" s="75">
        <v>2.2204460492503131E-14</v>
      </c>
      <c r="CR55" s="75">
        <v>2.2204460492503131E-14</v>
      </c>
      <c r="CS55" s="75">
        <v>2.2204460492503131E-14</v>
      </c>
      <c r="CT55" s="75">
        <v>0</v>
      </c>
    </row>
    <row r="56" spans="1:98" ht="15.5" x14ac:dyDescent="0.35">
      <c r="A56" s="88"/>
      <c r="B56" s="42">
        <v>273</v>
      </c>
      <c r="C56" s="37">
        <v>2732</v>
      </c>
      <c r="D56" s="40" t="s">
        <v>116</v>
      </c>
      <c r="E56" s="102">
        <f>[1]CLASSI_EAI!G1007</f>
        <v>2.09322659290812</v>
      </c>
      <c r="F56" s="75">
        <v>-11.000626263389357</v>
      </c>
      <c r="G56" s="75">
        <v>-11.035854772503374</v>
      </c>
      <c r="H56" s="75">
        <v>1.0825071604102954</v>
      </c>
      <c r="I56" s="75">
        <v>1.0130259688017285</v>
      </c>
      <c r="J56" s="75">
        <v>1.1594644580071645</v>
      </c>
      <c r="K56" s="75">
        <v>1.1485583710291625</v>
      </c>
      <c r="L56" s="75">
        <v>1.1157899539977034</v>
      </c>
      <c r="M56" s="75">
        <v>1.2207416024002438</v>
      </c>
      <c r="N56" s="75">
        <v>1.2327288966640371</v>
      </c>
      <c r="O56" s="75">
        <v>0.78937011792157286</v>
      </c>
      <c r="P56" s="75">
        <v>0.78796010399753147</v>
      </c>
      <c r="Q56" s="75">
        <v>0.62089692874476299</v>
      </c>
      <c r="R56" s="75">
        <v>6.2814395469690254E-2</v>
      </c>
      <c r="S56" s="75">
        <v>9.4122348416281199E-2</v>
      </c>
      <c r="T56" s="75">
        <v>-5.2825351434249157E-3</v>
      </c>
      <c r="U56" s="75">
        <v>4.3100574767973576E-2</v>
      </c>
      <c r="V56" s="75">
        <v>8.687327242091758E-2</v>
      </c>
      <c r="W56" s="75">
        <v>9.1858045066062211E-2</v>
      </c>
      <c r="X56" s="75">
        <v>0.10989982390867681</v>
      </c>
      <c r="Y56" s="75">
        <v>4.4815515902074665E-3</v>
      </c>
      <c r="Z56" s="75">
        <v>7.4365657932240481E-2</v>
      </c>
      <c r="AA56" s="75">
        <v>5.4041305397944939E-2</v>
      </c>
      <c r="AB56" s="75">
        <v>2.8488094455836332E-2</v>
      </c>
      <c r="AC56" s="75">
        <v>9.9959042555664013E-3</v>
      </c>
      <c r="AD56" s="75">
        <v>1.3330214776452465E-2</v>
      </c>
      <c r="AE56" s="75">
        <v>-1.2930561291280007E-2</v>
      </c>
      <c r="AF56" s="75">
        <v>2.7543715961542148E-2</v>
      </c>
      <c r="AG56" s="75">
        <v>3.2038318518279318E-2</v>
      </c>
      <c r="AH56" s="75">
        <v>2.0279538889700355E-2</v>
      </c>
      <c r="AI56" s="75">
        <v>-5.8860502868296471E-3</v>
      </c>
      <c r="AJ56" s="75">
        <v>1.8642720700190019</v>
      </c>
      <c r="AK56" s="75">
        <v>5.278266810017973</v>
      </c>
      <c r="AL56" s="75">
        <v>5.1598795742341608</v>
      </c>
      <c r="AM56" s="75">
        <v>17.756162450295655</v>
      </c>
      <c r="AN56" s="75">
        <v>17.652424386559808</v>
      </c>
      <c r="AO56" s="75">
        <v>20.463128897888016</v>
      </c>
      <c r="AP56" s="75">
        <v>20.519937085141571</v>
      </c>
      <c r="AQ56" s="75">
        <v>20.991475199061259</v>
      </c>
      <c r="AR56" s="75">
        <v>20.958327584222801</v>
      </c>
      <c r="AS56" s="75">
        <v>20.994483551897968</v>
      </c>
      <c r="AT56" s="75">
        <v>20.966842782265704</v>
      </c>
      <c r="AU56" s="75">
        <v>21.662939343956332</v>
      </c>
      <c r="AV56" s="75">
        <v>19.386715277517741</v>
      </c>
      <c r="AW56" s="75">
        <v>15.520370711056142</v>
      </c>
      <c r="AX56" s="75">
        <v>15.526210090490089</v>
      </c>
      <c r="AY56" s="75">
        <v>3.1918949843240174</v>
      </c>
      <c r="AZ56" s="75">
        <v>3.3390249176625142</v>
      </c>
      <c r="BA56" s="75">
        <v>1.1181069640310959</v>
      </c>
      <c r="BB56" s="75">
        <v>1.1533673734910543</v>
      </c>
      <c r="BC56" s="75">
        <v>0.83375746189355837</v>
      </c>
      <c r="BD56" s="75">
        <v>0.83355721085818235</v>
      </c>
      <c r="BE56" s="75">
        <v>0.7719418786827692</v>
      </c>
      <c r="BF56" s="75">
        <v>0.73670312092806167</v>
      </c>
      <c r="BG56" s="75">
        <v>0.13256412262871997</v>
      </c>
      <c r="BH56" s="75">
        <v>0.16649145697211765</v>
      </c>
      <c r="BI56" s="75">
        <v>0.15756168825740158</v>
      </c>
      <c r="BJ56" s="75">
        <v>0.22363467898989242</v>
      </c>
      <c r="BK56" s="75">
        <v>0.18814885995068753</v>
      </c>
      <c r="BL56" s="75">
        <v>0.1092734312948096</v>
      </c>
      <c r="BM56" s="75">
        <v>-2.404559656534222</v>
      </c>
      <c r="BN56" s="75">
        <v>-2.5035902025646872</v>
      </c>
      <c r="BO56" s="75">
        <v>-2.5162983238972814</v>
      </c>
      <c r="BP56" s="75">
        <v>-2.4552394808099121</v>
      </c>
      <c r="BQ56" s="75">
        <v>-2.4328832718498172</v>
      </c>
      <c r="BR56" s="75">
        <v>-2.3378347771759844</v>
      </c>
      <c r="BS56" s="75">
        <v>-2.2635110807072256</v>
      </c>
      <c r="BT56" s="75">
        <v>-2.2403716697152909</v>
      </c>
      <c r="BU56" s="75">
        <v>-1.7404790175688523</v>
      </c>
      <c r="BV56" s="75">
        <v>-1.7818811307803939</v>
      </c>
      <c r="BW56" s="75">
        <v>-1.8607858120554321</v>
      </c>
      <c r="BX56" s="75">
        <v>-1.8765954327204404</v>
      </c>
      <c r="BY56" s="75">
        <v>1.6760759907130218</v>
      </c>
      <c r="BZ56" s="75">
        <v>1.6826180796283507</v>
      </c>
      <c r="CA56" s="75">
        <v>1.6707560715174097</v>
      </c>
      <c r="CB56" s="75">
        <v>-0.4831700393152949</v>
      </c>
      <c r="CC56" s="75">
        <v>-0.55139584748498116</v>
      </c>
      <c r="CD56" s="75">
        <v>-0.56832587495917464</v>
      </c>
      <c r="CE56" s="75">
        <v>-0.58325786479727082</v>
      </c>
      <c r="CF56" s="75">
        <v>0.23583319032214334</v>
      </c>
      <c r="CG56" s="75">
        <v>-0.27747312911156063</v>
      </c>
      <c r="CH56" s="75">
        <v>2.3557540716808267</v>
      </c>
      <c r="CI56" s="75">
        <v>2.4385952985405801</v>
      </c>
      <c r="CJ56" s="75">
        <v>2.4547719193174888</v>
      </c>
      <c r="CK56" s="75">
        <v>1.235562263408152</v>
      </c>
      <c r="CL56" s="75">
        <v>1.2597483489803496</v>
      </c>
      <c r="CM56" s="75">
        <v>1.2128366506743316</v>
      </c>
      <c r="CN56" s="75">
        <v>3.2784204125973604</v>
      </c>
      <c r="CO56" s="75">
        <v>3.2747740560268301</v>
      </c>
      <c r="CP56" s="75">
        <v>3.3983611864229601</v>
      </c>
      <c r="CQ56" s="75">
        <v>4.2683223428874983</v>
      </c>
      <c r="CR56" s="75">
        <v>3.3727950270172613</v>
      </c>
      <c r="CS56" s="75">
        <v>10.234104769989806</v>
      </c>
      <c r="CT56" s="75">
        <v>7.5718224605855644</v>
      </c>
    </row>
    <row r="57" spans="1:98" ht="15.5" x14ac:dyDescent="0.35">
      <c r="A57" s="83">
        <v>31</v>
      </c>
      <c r="B57" s="44"/>
      <c r="C57" s="44"/>
      <c r="D57" s="45" t="s">
        <v>28</v>
      </c>
      <c r="E57" s="103">
        <f>E58</f>
        <v>91.576484518953094</v>
      </c>
      <c r="F57" s="90">
        <v>5.7811408855774626</v>
      </c>
      <c r="G57" s="90">
        <v>6.5285508245405577</v>
      </c>
      <c r="H57" s="90">
        <v>6.8485223965081277</v>
      </c>
      <c r="I57" s="90">
        <v>5.7991372933180019</v>
      </c>
      <c r="J57" s="90">
        <v>5.7587962455897035</v>
      </c>
      <c r="K57" s="90">
        <v>5.0498709706114919</v>
      </c>
      <c r="L57" s="90">
        <v>5.4647745313677332</v>
      </c>
      <c r="M57" s="90">
        <v>3.735262493385183</v>
      </c>
      <c r="N57" s="90">
        <v>2.4337069415097723</v>
      </c>
      <c r="O57" s="90">
        <v>3.0741593521449229</v>
      </c>
      <c r="P57" s="90">
        <v>2.6989888320173128</v>
      </c>
      <c r="Q57" s="90">
        <v>2.358902781272354</v>
      </c>
      <c r="R57" s="90">
        <v>2.1276702895130839</v>
      </c>
      <c r="S57" s="90">
        <v>1.2140494706450955</v>
      </c>
      <c r="T57" s="90">
        <v>1.6328232217078575</v>
      </c>
      <c r="U57" s="90">
        <v>2.2731915951502923</v>
      </c>
      <c r="V57" s="90">
        <v>2.6076381406663796</v>
      </c>
      <c r="W57" s="90">
        <v>2.6325959170478086</v>
      </c>
      <c r="X57" s="90">
        <v>1.7472569134499016</v>
      </c>
      <c r="Y57" s="90">
        <v>2.0104199887547303</v>
      </c>
      <c r="Z57" s="90">
        <v>2.4436721255028049</v>
      </c>
      <c r="AA57" s="90">
        <v>2.0660831950171987</v>
      </c>
      <c r="AB57" s="90">
        <v>2.4712285842483084</v>
      </c>
      <c r="AC57" s="90">
        <v>2.3777011244850543</v>
      </c>
      <c r="AD57" s="90">
        <v>1.9253510072320568</v>
      </c>
      <c r="AE57" s="90">
        <v>2.3317404014894461</v>
      </c>
      <c r="AF57" s="90">
        <v>1.2922059635815941</v>
      </c>
      <c r="AG57" s="90">
        <v>1.0039385474789775</v>
      </c>
      <c r="AH57" s="90">
        <v>3.4810437809529304E-2</v>
      </c>
      <c r="AI57" s="90">
        <v>0.65002149393562636</v>
      </c>
      <c r="AJ57" s="90">
        <v>0.80861759943386957</v>
      </c>
      <c r="AK57" s="90">
        <v>0.56970744673419116</v>
      </c>
      <c r="AL57" s="90">
        <v>0.45040276950880642</v>
      </c>
      <c r="AM57" s="90">
        <v>0.98014361276426154</v>
      </c>
      <c r="AN57" s="90">
        <v>-0.10829363306672501</v>
      </c>
      <c r="AO57" s="90">
        <v>0.46019381387067959</v>
      </c>
      <c r="AP57" s="90">
        <v>1.0621650667512084</v>
      </c>
      <c r="AQ57" s="90">
        <v>0.9812979727511717</v>
      </c>
      <c r="AR57" s="90">
        <v>1.2493885145653749</v>
      </c>
      <c r="AS57" s="90">
        <v>1.0770031040545858</v>
      </c>
      <c r="AT57" s="90">
        <v>1.7634008301355086</v>
      </c>
      <c r="AU57" s="90">
        <v>1.3197596408923928</v>
      </c>
      <c r="AV57" s="90">
        <v>1.6021642890242882</v>
      </c>
      <c r="AW57" s="90">
        <v>1.8053945553018425</v>
      </c>
      <c r="AX57" s="90">
        <v>1.8373229324860185</v>
      </c>
      <c r="AY57" s="90">
        <v>1.2451986433091866</v>
      </c>
      <c r="AZ57" s="90">
        <v>1.9879746117735353</v>
      </c>
      <c r="BA57" s="90">
        <v>1.8412122183881108</v>
      </c>
      <c r="BB57" s="90">
        <v>2.6891053221884009</v>
      </c>
      <c r="BC57" s="90">
        <v>2.3872161676563142</v>
      </c>
      <c r="BD57" s="90">
        <v>4.2656083420244295</v>
      </c>
      <c r="BE57" s="90">
        <v>4.8721908979604711</v>
      </c>
      <c r="BF57" s="90">
        <v>4.6889848777762033</v>
      </c>
      <c r="BG57" s="90">
        <v>4.6791437651845458</v>
      </c>
      <c r="BH57" s="90">
        <v>4.317774131086316</v>
      </c>
      <c r="BI57" s="90">
        <v>4.3639784620995936</v>
      </c>
      <c r="BJ57" s="90">
        <v>5.0152937811052567</v>
      </c>
      <c r="BK57" s="90">
        <v>5.0351826215254691</v>
      </c>
      <c r="BL57" s="90">
        <v>5.3779809619597607</v>
      </c>
      <c r="BM57" s="90">
        <v>4.9625344169156982</v>
      </c>
      <c r="BN57" s="90">
        <v>4.5895046320006738</v>
      </c>
      <c r="BO57" s="90">
        <v>4.734408198583373</v>
      </c>
      <c r="BP57" s="90">
        <v>3.2874253605194692</v>
      </c>
      <c r="BQ57" s="90">
        <v>3.0494948299893077</v>
      </c>
      <c r="BR57" s="90">
        <v>3.8607219772119894</v>
      </c>
      <c r="BS57" s="90">
        <v>3.6922389978345294</v>
      </c>
      <c r="BT57" s="90">
        <v>3.9699597543749077</v>
      </c>
      <c r="BU57" s="90">
        <v>6.8816496265776683</v>
      </c>
      <c r="BV57" s="90">
        <v>6.9401598420885113</v>
      </c>
      <c r="BW57" s="90">
        <v>6.7425863327984059</v>
      </c>
      <c r="BX57" s="90">
        <v>6.4079409398818843</v>
      </c>
      <c r="BY57" s="90">
        <v>6.3237996449444722</v>
      </c>
      <c r="BZ57" s="90">
        <v>5.7835014847411825</v>
      </c>
      <c r="CA57" s="90">
        <v>5.9297035107326757</v>
      </c>
      <c r="CB57" s="90">
        <v>5.3851525068992157</v>
      </c>
      <c r="CC57" s="90">
        <v>4.8909931820056984</v>
      </c>
      <c r="CD57" s="90">
        <v>3.6129102635018562</v>
      </c>
      <c r="CE57" s="90">
        <v>4.2780579177485345</v>
      </c>
      <c r="CF57" s="90">
        <v>4.7315000978996435</v>
      </c>
      <c r="CG57" s="90">
        <v>2.5871461763758763</v>
      </c>
      <c r="CH57" s="90">
        <v>1.7165675019623627</v>
      </c>
      <c r="CI57" s="90">
        <v>2.132386418305865</v>
      </c>
      <c r="CJ57" s="90">
        <v>2.0369815390950619</v>
      </c>
      <c r="CK57" s="90">
        <v>2.0369815390950619</v>
      </c>
      <c r="CL57" s="90">
        <v>1.5669854745840928</v>
      </c>
      <c r="CM57" s="90">
        <v>1.7912115150469088</v>
      </c>
      <c r="CN57" s="90">
        <v>2.0528980262241925</v>
      </c>
      <c r="CO57" s="90">
        <v>2.1269287199707332</v>
      </c>
      <c r="CP57" s="90">
        <v>2.1269287199707332</v>
      </c>
      <c r="CQ57" s="90">
        <v>1.3560516839377312</v>
      </c>
      <c r="CR57" s="90">
        <v>0.89654265392782317</v>
      </c>
      <c r="CS57" s="90">
        <v>0.22662702020412873</v>
      </c>
      <c r="CT57" s="90">
        <v>0.28883382661977208</v>
      </c>
    </row>
    <row r="58" spans="1:98" ht="15.5" x14ac:dyDescent="0.35">
      <c r="A58" s="88"/>
      <c r="B58" s="42">
        <v>310</v>
      </c>
      <c r="C58" s="37">
        <v>3100</v>
      </c>
      <c r="D58" s="40" t="s">
        <v>28</v>
      </c>
      <c r="E58" s="102">
        <f>[1]CLASSI_EAI!G1035</f>
        <v>91.576484518953094</v>
      </c>
      <c r="F58" s="75">
        <v>5.7811408855774626</v>
      </c>
      <c r="G58" s="75">
        <v>6.5285508245405577</v>
      </c>
      <c r="H58" s="75">
        <v>6.8485223965081277</v>
      </c>
      <c r="I58" s="75">
        <v>5.7991372933180019</v>
      </c>
      <c r="J58" s="75">
        <v>5.7587962455897035</v>
      </c>
      <c r="K58" s="75">
        <v>5.0498709706114919</v>
      </c>
      <c r="L58" s="75">
        <v>5.4647745313677332</v>
      </c>
      <c r="M58" s="75">
        <v>3.735262493385183</v>
      </c>
      <c r="N58" s="75">
        <v>2.4337069415097723</v>
      </c>
      <c r="O58" s="75">
        <v>3.0741593521449229</v>
      </c>
      <c r="P58" s="75">
        <v>2.6989888320173128</v>
      </c>
      <c r="Q58" s="75">
        <v>2.358902781272354</v>
      </c>
      <c r="R58" s="75">
        <v>2.1276702895130839</v>
      </c>
      <c r="S58" s="75">
        <v>1.2140494706450955</v>
      </c>
      <c r="T58" s="75">
        <v>1.6328232217078575</v>
      </c>
      <c r="U58" s="75">
        <v>2.2731915951502923</v>
      </c>
      <c r="V58" s="75">
        <v>2.6076381406663796</v>
      </c>
      <c r="W58" s="75">
        <v>2.6325959170478086</v>
      </c>
      <c r="X58" s="75">
        <v>1.7472569134499016</v>
      </c>
      <c r="Y58" s="75">
        <v>2.0104199887547303</v>
      </c>
      <c r="Z58" s="75">
        <v>2.4436721255028049</v>
      </c>
      <c r="AA58" s="75">
        <v>2.0660831950171987</v>
      </c>
      <c r="AB58" s="75">
        <v>2.4712285842483084</v>
      </c>
      <c r="AC58" s="75">
        <v>2.3777011244850543</v>
      </c>
      <c r="AD58" s="75">
        <v>1.9253510072320568</v>
      </c>
      <c r="AE58" s="75">
        <v>2.3317404014894461</v>
      </c>
      <c r="AF58" s="75">
        <v>1.2922059635815941</v>
      </c>
      <c r="AG58" s="75">
        <v>1.0039385474789775</v>
      </c>
      <c r="AH58" s="75">
        <v>3.4810437809529304E-2</v>
      </c>
      <c r="AI58" s="75">
        <v>0.65002149393562636</v>
      </c>
      <c r="AJ58" s="75">
        <v>0.80861759943386957</v>
      </c>
      <c r="AK58" s="75">
        <v>0.56970744673419116</v>
      </c>
      <c r="AL58" s="75">
        <v>0.45040276950880642</v>
      </c>
      <c r="AM58" s="75">
        <v>0.98014361276426154</v>
      </c>
      <c r="AN58" s="75">
        <v>-0.10829363306672501</v>
      </c>
      <c r="AO58" s="75">
        <v>0.46019381387067959</v>
      </c>
      <c r="AP58" s="75">
        <v>1.0621650667512084</v>
      </c>
      <c r="AQ58" s="75">
        <v>0.9812979727511717</v>
      </c>
      <c r="AR58" s="75">
        <v>1.2493885145653749</v>
      </c>
      <c r="AS58" s="75">
        <v>1.0770031040545858</v>
      </c>
      <c r="AT58" s="75">
        <v>1.7634008301355086</v>
      </c>
      <c r="AU58" s="75">
        <v>1.3197596408923928</v>
      </c>
      <c r="AV58" s="75">
        <v>1.6021642890242882</v>
      </c>
      <c r="AW58" s="75">
        <v>1.8053945553018425</v>
      </c>
      <c r="AX58" s="75">
        <v>1.8373229324860185</v>
      </c>
      <c r="AY58" s="75">
        <v>1.2451986433091866</v>
      </c>
      <c r="AZ58" s="75">
        <v>1.9879746117735353</v>
      </c>
      <c r="BA58" s="75">
        <v>1.8412122183881108</v>
      </c>
      <c r="BB58" s="75">
        <v>2.6891053221884009</v>
      </c>
      <c r="BC58" s="75">
        <v>2.3872161676563142</v>
      </c>
      <c r="BD58" s="75">
        <v>4.2656083420244295</v>
      </c>
      <c r="BE58" s="75">
        <v>4.8721908979604711</v>
      </c>
      <c r="BF58" s="75">
        <v>4.6889848777762033</v>
      </c>
      <c r="BG58" s="75">
        <v>4.6791437651845458</v>
      </c>
      <c r="BH58" s="75">
        <v>4.317774131086316</v>
      </c>
      <c r="BI58" s="75">
        <v>4.3639784620995936</v>
      </c>
      <c r="BJ58" s="75">
        <v>5.0152937811052567</v>
      </c>
      <c r="BK58" s="75">
        <v>5.0351826215254691</v>
      </c>
      <c r="BL58" s="75">
        <v>5.3779809619597607</v>
      </c>
      <c r="BM58" s="75">
        <v>4.9625344169156982</v>
      </c>
      <c r="BN58" s="75">
        <v>4.5895046320006738</v>
      </c>
      <c r="BO58" s="75">
        <v>4.734408198583373</v>
      </c>
      <c r="BP58" s="75">
        <v>3.2874253605194692</v>
      </c>
      <c r="BQ58" s="75">
        <v>3.0494948299893077</v>
      </c>
      <c r="BR58" s="75">
        <v>3.8607219772119894</v>
      </c>
      <c r="BS58" s="75">
        <v>3.6922389978345294</v>
      </c>
      <c r="BT58" s="75">
        <v>3.9699597543749077</v>
      </c>
      <c r="BU58" s="75">
        <v>6.8816496265776683</v>
      </c>
      <c r="BV58" s="75">
        <v>6.9401598420885113</v>
      </c>
      <c r="BW58" s="75">
        <v>6.7425863327984059</v>
      </c>
      <c r="BX58" s="75">
        <v>6.4079409398818843</v>
      </c>
      <c r="BY58" s="75">
        <v>6.3237996449444722</v>
      </c>
      <c r="BZ58" s="75">
        <v>5.7835014847411825</v>
      </c>
      <c r="CA58" s="75">
        <v>5.9297035107326757</v>
      </c>
      <c r="CB58" s="75">
        <v>5.3851525068992157</v>
      </c>
      <c r="CC58" s="75">
        <v>4.8909931820056984</v>
      </c>
      <c r="CD58" s="75">
        <v>3.6129102635018562</v>
      </c>
      <c r="CE58" s="75">
        <v>4.2780579177485345</v>
      </c>
      <c r="CF58" s="75">
        <v>4.7315000978996435</v>
      </c>
      <c r="CG58" s="75">
        <v>2.5871461763758763</v>
      </c>
      <c r="CH58" s="75">
        <v>1.7165675019623627</v>
      </c>
      <c r="CI58" s="75">
        <v>2.132386418305865</v>
      </c>
      <c r="CJ58" s="75">
        <v>2.0369815390950619</v>
      </c>
      <c r="CK58" s="75">
        <v>2.0369815390950619</v>
      </c>
      <c r="CL58" s="75">
        <v>1.5669854745840928</v>
      </c>
      <c r="CM58" s="75">
        <v>1.7912115150469088</v>
      </c>
      <c r="CN58" s="75">
        <v>2.0528980262241925</v>
      </c>
      <c r="CO58" s="75">
        <v>2.1269287199707332</v>
      </c>
      <c r="CP58" s="75">
        <v>2.1269287199707332</v>
      </c>
      <c r="CQ58" s="75">
        <v>1.3560516839377312</v>
      </c>
      <c r="CR58" s="75">
        <v>0.89654265392782317</v>
      </c>
      <c r="CS58" s="75">
        <v>0.22662702020412873</v>
      </c>
      <c r="CT58" s="75">
        <v>0.28883382661977208</v>
      </c>
    </row>
    <row r="59" spans="1:98" ht="15.5" x14ac:dyDescent="0.35">
      <c r="A59" s="84"/>
      <c r="B59" s="46"/>
      <c r="C59" s="46"/>
      <c r="D59" s="46"/>
      <c r="E59" s="102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</row>
    <row r="60" spans="1:98" ht="15.5" x14ac:dyDescent="0.35">
      <c r="A60" s="85"/>
      <c r="B60" s="46"/>
      <c r="C60" s="46"/>
      <c r="D60" s="46"/>
      <c r="E60" s="102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</row>
    <row r="61" spans="1:98" ht="15.5" x14ac:dyDescent="0.35">
      <c r="A61" s="86"/>
      <c r="B61" s="62"/>
      <c r="C61" s="62" t="s">
        <v>125</v>
      </c>
      <c r="D61" s="62"/>
      <c r="E61" s="102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</row>
    <row r="62" spans="1:98" ht="15.5" x14ac:dyDescent="0.35">
      <c r="A62" s="87"/>
      <c r="B62" s="2"/>
      <c r="C62" s="17"/>
      <c r="D62" s="3" t="s">
        <v>11</v>
      </c>
      <c r="E62" s="107"/>
      <c r="F62" s="5">
        <v>43282</v>
      </c>
      <c r="G62" s="5">
        <v>43313</v>
      </c>
      <c r="H62" s="5">
        <v>43344</v>
      </c>
      <c r="I62" s="5">
        <v>43374</v>
      </c>
      <c r="J62" s="5">
        <v>43405</v>
      </c>
      <c r="K62" s="5">
        <v>43435</v>
      </c>
      <c r="L62" s="5">
        <v>43466</v>
      </c>
      <c r="M62" s="5">
        <v>43497</v>
      </c>
      <c r="N62" s="5">
        <v>43525</v>
      </c>
      <c r="O62" s="5">
        <v>43556</v>
      </c>
      <c r="P62" s="5">
        <v>43586</v>
      </c>
      <c r="Q62" s="5">
        <v>43617</v>
      </c>
      <c r="R62" s="5">
        <v>43647</v>
      </c>
      <c r="S62" s="5">
        <v>43678</v>
      </c>
      <c r="T62" s="5">
        <v>43709</v>
      </c>
      <c r="U62" s="5">
        <v>43739</v>
      </c>
      <c r="V62" s="5">
        <v>43770</v>
      </c>
      <c r="W62" s="5">
        <v>43800</v>
      </c>
      <c r="X62" s="5">
        <v>43831</v>
      </c>
      <c r="Y62" s="5">
        <v>43862</v>
      </c>
      <c r="Z62" s="5">
        <v>43891</v>
      </c>
      <c r="AA62" s="5">
        <v>43922</v>
      </c>
      <c r="AB62" s="5">
        <v>43952</v>
      </c>
      <c r="AC62" s="5">
        <v>43983</v>
      </c>
      <c r="AD62" s="5">
        <v>44013</v>
      </c>
      <c r="AE62" s="5">
        <v>44044</v>
      </c>
      <c r="AF62" s="5">
        <v>44075</v>
      </c>
      <c r="AG62" s="5">
        <v>44105</v>
      </c>
      <c r="AH62" s="5">
        <v>44136</v>
      </c>
      <c r="AI62" s="5">
        <v>44166</v>
      </c>
      <c r="AJ62" s="5">
        <v>44197</v>
      </c>
      <c r="AK62" s="5">
        <v>44228</v>
      </c>
      <c r="AL62" s="5">
        <v>44256</v>
      </c>
      <c r="AM62" s="5">
        <v>44287</v>
      </c>
      <c r="AN62" s="5">
        <v>44317</v>
      </c>
      <c r="AO62" s="5">
        <v>44348</v>
      </c>
      <c r="AP62" s="5">
        <v>44378</v>
      </c>
      <c r="AQ62" s="5">
        <v>44409</v>
      </c>
      <c r="AR62" s="5">
        <v>44440</v>
      </c>
      <c r="AS62" s="5">
        <v>44470</v>
      </c>
      <c r="AT62" s="5">
        <v>44501</v>
      </c>
      <c r="AU62" s="5">
        <v>44531</v>
      </c>
      <c r="AV62" s="5">
        <v>44562</v>
      </c>
      <c r="AW62" s="5">
        <v>44593</v>
      </c>
      <c r="AX62" s="5">
        <v>44621</v>
      </c>
      <c r="AY62" s="5">
        <v>44652</v>
      </c>
      <c r="AZ62" s="5">
        <v>44682</v>
      </c>
      <c r="BA62" s="5">
        <v>44713</v>
      </c>
      <c r="BB62" s="5">
        <v>44743</v>
      </c>
      <c r="BC62" s="5">
        <v>44774</v>
      </c>
      <c r="BD62" s="5">
        <v>44805</v>
      </c>
      <c r="BE62" s="5">
        <v>44835</v>
      </c>
      <c r="BF62" s="5">
        <v>44866</v>
      </c>
      <c r="BG62" s="5">
        <v>44896</v>
      </c>
      <c r="BH62" s="5">
        <v>44927</v>
      </c>
      <c r="BI62" s="5">
        <v>44958</v>
      </c>
      <c r="BJ62" s="5">
        <v>44986</v>
      </c>
      <c r="BK62" s="5">
        <v>45017</v>
      </c>
      <c r="BL62" s="5">
        <v>45047</v>
      </c>
      <c r="BM62" s="5">
        <v>45078</v>
      </c>
      <c r="BN62" s="5">
        <v>45108</v>
      </c>
      <c r="BO62" s="5">
        <v>45139</v>
      </c>
      <c r="BP62" s="5">
        <v>45170</v>
      </c>
      <c r="BQ62" s="5">
        <v>45200</v>
      </c>
      <c r="BR62" s="5">
        <v>45231</v>
      </c>
      <c r="BS62" s="5">
        <v>45261</v>
      </c>
      <c r="BT62" s="5">
        <v>45292</v>
      </c>
      <c r="BU62" s="5">
        <v>45323</v>
      </c>
      <c r="BV62" s="5">
        <v>45352</v>
      </c>
      <c r="BW62" s="5">
        <v>45383</v>
      </c>
      <c r="BX62" s="5">
        <v>45413</v>
      </c>
      <c r="BY62" s="5">
        <v>45444</v>
      </c>
      <c r="BZ62" s="5">
        <v>45474</v>
      </c>
      <c r="CA62" s="5">
        <v>45505</v>
      </c>
      <c r="CB62" s="5">
        <v>45536</v>
      </c>
      <c r="CC62" s="5">
        <v>45566</v>
      </c>
      <c r="CD62" s="5">
        <v>45597</v>
      </c>
      <c r="CE62" s="5">
        <v>45627</v>
      </c>
      <c r="CF62" s="5">
        <v>45658</v>
      </c>
      <c r="CG62" s="5">
        <v>45689</v>
      </c>
      <c r="CH62" s="5">
        <v>45717</v>
      </c>
      <c r="CI62" s="5">
        <v>45748</v>
      </c>
      <c r="CJ62" s="5">
        <v>45778</v>
      </c>
      <c r="CK62" s="5">
        <v>45809</v>
      </c>
      <c r="CL62" s="5">
        <v>45839</v>
      </c>
      <c r="CM62" s="5">
        <v>45870</v>
      </c>
      <c r="CN62" s="5">
        <v>45901</v>
      </c>
      <c r="CO62" s="5">
        <v>45931</v>
      </c>
      <c r="CP62" s="5">
        <v>45962</v>
      </c>
      <c r="CQ62" s="5">
        <v>45992</v>
      </c>
      <c r="CR62" s="5">
        <v>46023</v>
      </c>
      <c r="CS62" s="5">
        <v>46054</v>
      </c>
      <c r="CT62" s="5">
        <v>46082</v>
      </c>
    </row>
    <row r="63" spans="1:98" ht="15.5" x14ac:dyDescent="0.35">
      <c r="A63" s="82"/>
      <c r="B63" s="21"/>
      <c r="C63" s="21" t="s">
        <v>8</v>
      </c>
      <c r="D63" s="21"/>
      <c r="E63" s="100">
        <v>113.556008915267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90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</row>
    <row r="64" spans="1:98" ht="15.5" x14ac:dyDescent="0.35">
      <c r="A64" s="83">
        <v>35</v>
      </c>
      <c r="B64" s="27"/>
      <c r="C64" s="27"/>
      <c r="D64" s="29" t="s">
        <v>126</v>
      </c>
      <c r="E64" s="103">
        <f t="shared" ref="E64" si="0">E65</f>
        <v>52.067266036445503</v>
      </c>
      <c r="F64" s="90">
        <v>5.4567775755770764</v>
      </c>
      <c r="G64" s="90">
        <v>4.9238396277141883</v>
      </c>
      <c r="H64" s="90">
        <v>5.8246800863561266</v>
      </c>
      <c r="I64" s="90">
        <v>4.7805403844038974</v>
      </c>
      <c r="J64" s="90">
        <v>4.5123845555572695</v>
      </c>
      <c r="K64" s="90">
        <v>3.8994545489053012</v>
      </c>
      <c r="L64" s="90">
        <v>7.5723719316660443</v>
      </c>
      <c r="M64" s="90">
        <v>6.4224262781802821</v>
      </c>
      <c r="N64" s="90">
        <v>6.45266562375435</v>
      </c>
      <c r="O64" s="90">
        <v>7.0255381444708886</v>
      </c>
      <c r="P64" s="90">
        <v>6.793070838084514</v>
      </c>
      <c r="Q64" s="90">
        <v>4.6725604684925814</v>
      </c>
      <c r="R64" s="90">
        <v>4.0905781991910972</v>
      </c>
      <c r="S64" s="90">
        <v>4.8401636399298953</v>
      </c>
      <c r="T64" s="90">
        <v>3.4775920549934281</v>
      </c>
      <c r="U64" s="90">
        <v>4.6597767901344733</v>
      </c>
      <c r="V64" s="90">
        <v>3.8062261844388212</v>
      </c>
      <c r="W64" s="90">
        <v>3.7928769735772416</v>
      </c>
      <c r="X64" s="90">
        <v>7.3144424420168441E-2</v>
      </c>
      <c r="Y64" s="90">
        <v>1.4524148295268047</v>
      </c>
      <c r="Z64" s="90">
        <v>2.4151458136473014</v>
      </c>
      <c r="AA64" s="90">
        <v>2.6448438094479387</v>
      </c>
      <c r="AB64" s="90">
        <v>1.3977997217900162</v>
      </c>
      <c r="AC64" s="90">
        <v>-7.8977498846721783E-2</v>
      </c>
      <c r="AD64" s="90">
        <v>0.60187334237364887</v>
      </c>
      <c r="AE64" s="90">
        <v>0.11433571527770248</v>
      </c>
      <c r="AF64" s="90">
        <v>0.95867829851792319</v>
      </c>
      <c r="AG64" s="90">
        <v>0.25737346518424076</v>
      </c>
      <c r="AH64" s="90">
        <v>1.4355233494878883</v>
      </c>
      <c r="AI64" s="90">
        <v>1.4853701620085147</v>
      </c>
      <c r="AJ64" s="90">
        <v>0.67280750498686093</v>
      </c>
      <c r="AK64" s="90">
        <v>1.0012476584659202</v>
      </c>
      <c r="AL64" s="90">
        <v>-1.1605990883891804</v>
      </c>
      <c r="AM64" s="90">
        <v>-2.3924864852627792</v>
      </c>
      <c r="AN64" s="90">
        <v>-3.0486001177882138</v>
      </c>
      <c r="AO64" s="90">
        <v>0.36502210260580537</v>
      </c>
      <c r="AP64" s="90">
        <v>0.60299687381424327</v>
      </c>
      <c r="AQ64" s="90">
        <v>0.43681578437639867</v>
      </c>
      <c r="AR64" s="90">
        <v>0.53636408272061953</v>
      </c>
      <c r="AS64" s="90">
        <v>0.90593747802780733</v>
      </c>
      <c r="AT64" s="90">
        <v>0.6056355252360035</v>
      </c>
      <c r="AU64" s="90">
        <v>0.27799852227383681</v>
      </c>
      <c r="AV64" s="90">
        <v>1.1020527468187824</v>
      </c>
      <c r="AW64" s="90">
        <v>0.56358817529367222</v>
      </c>
      <c r="AX64" s="90">
        <v>3.0579078938775428</v>
      </c>
      <c r="AY64" s="90">
        <v>2.3792393268656342</v>
      </c>
      <c r="AZ64" s="90">
        <v>5.3077267141136142</v>
      </c>
      <c r="BA64" s="90">
        <v>4.9750620572737603</v>
      </c>
      <c r="BB64" s="90">
        <v>6.6196087922684832</v>
      </c>
      <c r="BC64" s="90">
        <v>7.5676248684373615</v>
      </c>
      <c r="BD64" s="90">
        <v>6.9577969036945131</v>
      </c>
      <c r="BE64" s="90">
        <v>8.310124527562035</v>
      </c>
      <c r="BF64" s="90">
        <v>7.5743700364117705</v>
      </c>
      <c r="BG64" s="90">
        <v>7.3260212373239098</v>
      </c>
      <c r="BH64" s="90">
        <v>7.5845842480943393</v>
      </c>
      <c r="BI64" s="90">
        <v>7.2501297402828513</v>
      </c>
      <c r="BJ64" s="90">
        <v>6.5669736818064317</v>
      </c>
      <c r="BK64" s="90">
        <v>8.4536070562461383</v>
      </c>
      <c r="BL64" s="90">
        <v>6.7383559321408715</v>
      </c>
      <c r="BM64" s="90">
        <v>4.6620221442607246</v>
      </c>
      <c r="BN64" s="90">
        <v>2.4227459458308065</v>
      </c>
      <c r="BO64" s="90">
        <v>2.2519941989240122</v>
      </c>
      <c r="BP64" s="90">
        <v>3.074812393855586</v>
      </c>
      <c r="BQ64" s="90">
        <v>1.4502761217517479</v>
      </c>
      <c r="BR64" s="90">
        <v>2.7226148492987434</v>
      </c>
      <c r="BS64" s="90">
        <v>6.0709175673573146</v>
      </c>
      <c r="BT64" s="90">
        <v>5.0690747167154271</v>
      </c>
      <c r="BU64" s="90">
        <v>6.1955830065072437</v>
      </c>
      <c r="BV64" s="90">
        <v>5.624255765255981</v>
      </c>
      <c r="BW64" s="90">
        <v>3.372823784641743</v>
      </c>
      <c r="BX64" s="90">
        <v>3.1598714089506652</v>
      </c>
      <c r="BY64" s="90">
        <v>3.0034493843625443</v>
      </c>
      <c r="BZ64" s="90">
        <v>3.0883135367048453</v>
      </c>
      <c r="CA64" s="90">
        <v>2.9344867355032944</v>
      </c>
      <c r="CB64" s="90">
        <v>2.0334371300890997</v>
      </c>
      <c r="CC64" s="90">
        <v>-4.0975600082156838</v>
      </c>
      <c r="CD64" s="90">
        <v>-4.3063272897865161</v>
      </c>
      <c r="CE64" s="90">
        <v>-7.1846048934457336</v>
      </c>
      <c r="CF64" s="90">
        <v>-6.8741889406632284</v>
      </c>
      <c r="CG64" s="90">
        <v>-8.0380754950848505</v>
      </c>
      <c r="CH64" s="90">
        <v>-8.2524972247011501</v>
      </c>
      <c r="CI64" s="90">
        <v>-7.1392661075748709</v>
      </c>
      <c r="CJ64" s="90">
        <v>-7.1434885397001153</v>
      </c>
      <c r="CK64" s="90">
        <v>-7.9261009852440996</v>
      </c>
      <c r="CL64" s="90">
        <v>-7.874825938938379</v>
      </c>
      <c r="CM64" s="90">
        <v>-8.6898353563474746</v>
      </c>
      <c r="CN64" s="90">
        <v>-9.968719729222741</v>
      </c>
      <c r="CO64" s="90">
        <v>-5.6498417354429398</v>
      </c>
      <c r="CP64" s="90">
        <v>-2.7701021126120717</v>
      </c>
      <c r="CQ64" s="90">
        <v>-1.9479734919281788</v>
      </c>
      <c r="CR64" s="90">
        <v>-2.9656536015893908</v>
      </c>
      <c r="CS64" s="90">
        <v>-2.5026458811315933</v>
      </c>
      <c r="CT64" s="90">
        <v>1.8594335288138364</v>
      </c>
    </row>
    <row r="65" spans="1:98" ht="15.5" x14ac:dyDescent="0.35">
      <c r="A65" s="88"/>
      <c r="B65" s="42">
        <v>351</v>
      </c>
      <c r="C65" s="37">
        <v>3510</v>
      </c>
      <c r="D65" s="40" t="s">
        <v>127</v>
      </c>
      <c r="E65" s="102">
        <f>[1]CLASSI_EAI!G1140</f>
        <v>52.067266036445503</v>
      </c>
      <c r="F65" s="75">
        <v>5.4567775755770764</v>
      </c>
      <c r="G65" s="75">
        <v>4.9238396277141883</v>
      </c>
      <c r="H65" s="75">
        <v>5.8246800863561266</v>
      </c>
      <c r="I65" s="75">
        <v>4.7805403844038974</v>
      </c>
      <c r="J65" s="75">
        <v>4.5123845555572695</v>
      </c>
      <c r="K65" s="75">
        <v>3.8994545489053012</v>
      </c>
      <c r="L65" s="75">
        <v>7.5723719316660443</v>
      </c>
      <c r="M65" s="75">
        <v>6.4224262781802821</v>
      </c>
      <c r="N65" s="75">
        <v>6.45266562375435</v>
      </c>
      <c r="O65" s="75">
        <v>7.0255381444708886</v>
      </c>
      <c r="P65" s="75">
        <v>6.793070838084514</v>
      </c>
      <c r="Q65" s="75">
        <v>4.6725604684925814</v>
      </c>
      <c r="R65" s="75">
        <v>4.0905781991910972</v>
      </c>
      <c r="S65" s="75">
        <v>4.8401636399298953</v>
      </c>
      <c r="T65" s="75">
        <v>3.4775920549934281</v>
      </c>
      <c r="U65" s="75">
        <v>4.6597767901344733</v>
      </c>
      <c r="V65" s="75">
        <v>3.8062261844388212</v>
      </c>
      <c r="W65" s="75">
        <v>3.7928769735772416</v>
      </c>
      <c r="X65" s="75">
        <v>7.3144424420168441E-2</v>
      </c>
      <c r="Y65" s="75">
        <v>1.4524148295268047</v>
      </c>
      <c r="Z65" s="75">
        <v>2.4151458136473014</v>
      </c>
      <c r="AA65" s="75">
        <v>2.6448438094479387</v>
      </c>
      <c r="AB65" s="75">
        <v>1.3977997217900162</v>
      </c>
      <c r="AC65" s="75">
        <v>-7.8977498846721783E-2</v>
      </c>
      <c r="AD65" s="75">
        <v>0.60187334237364887</v>
      </c>
      <c r="AE65" s="75">
        <v>0.11433571527770248</v>
      </c>
      <c r="AF65" s="75">
        <v>0.95867829851792319</v>
      </c>
      <c r="AG65" s="75">
        <v>0.25737346518424076</v>
      </c>
      <c r="AH65" s="75">
        <v>1.4355233494878883</v>
      </c>
      <c r="AI65" s="75">
        <v>1.4853701620085147</v>
      </c>
      <c r="AJ65" s="75">
        <v>0.67280750498686093</v>
      </c>
      <c r="AK65" s="75">
        <v>1.0012476584659202</v>
      </c>
      <c r="AL65" s="75">
        <v>-1.1605990883891804</v>
      </c>
      <c r="AM65" s="75">
        <v>-2.3924864852627792</v>
      </c>
      <c r="AN65" s="75">
        <v>-3.0486001177882138</v>
      </c>
      <c r="AO65" s="75">
        <v>0.36502210260580537</v>
      </c>
      <c r="AP65" s="75">
        <v>0.60299687381424327</v>
      </c>
      <c r="AQ65" s="75">
        <v>0.43681578437639867</v>
      </c>
      <c r="AR65" s="75">
        <v>0.53636408272061953</v>
      </c>
      <c r="AS65" s="75">
        <v>0.90593747802780733</v>
      </c>
      <c r="AT65" s="75">
        <v>0.6056355252360035</v>
      </c>
      <c r="AU65" s="75">
        <v>0.27799852227383681</v>
      </c>
      <c r="AV65" s="75">
        <v>1.1020527468187824</v>
      </c>
      <c r="AW65" s="75">
        <v>0.56358817529367222</v>
      </c>
      <c r="AX65" s="75">
        <v>3.0579078938775428</v>
      </c>
      <c r="AY65" s="75">
        <v>2.3792393268656342</v>
      </c>
      <c r="AZ65" s="75">
        <v>5.3077267141136142</v>
      </c>
      <c r="BA65" s="75">
        <v>4.9750620572737603</v>
      </c>
      <c r="BB65" s="75">
        <v>6.6196087922684832</v>
      </c>
      <c r="BC65" s="75">
        <v>7.5676248684373615</v>
      </c>
      <c r="BD65" s="75">
        <v>6.9577969036945131</v>
      </c>
      <c r="BE65" s="75">
        <v>8.310124527562035</v>
      </c>
      <c r="BF65" s="75">
        <v>7.5743700364117705</v>
      </c>
      <c r="BG65" s="75">
        <v>7.3260212373239098</v>
      </c>
      <c r="BH65" s="75">
        <v>7.5845842480943393</v>
      </c>
      <c r="BI65" s="75">
        <v>7.2501297402828513</v>
      </c>
      <c r="BJ65" s="75">
        <v>6.5669736818064317</v>
      </c>
      <c r="BK65" s="75">
        <v>8.4536070562461383</v>
      </c>
      <c r="BL65" s="75">
        <v>6.7383559321408715</v>
      </c>
      <c r="BM65" s="75">
        <v>4.6620221442607246</v>
      </c>
      <c r="BN65" s="75">
        <v>2.4227459458308065</v>
      </c>
      <c r="BO65" s="75">
        <v>2.2519941989240122</v>
      </c>
      <c r="BP65" s="75">
        <v>3.074812393855586</v>
      </c>
      <c r="BQ65" s="75">
        <v>1.4502761217517479</v>
      </c>
      <c r="BR65" s="75">
        <v>2.7226148492987434</v>
      </c>
      <c r="BS65" s="75">
        <v>6.0709175673573146</v>
      </c>
      <c r="BT65" s="75">
        <v>5.0690747167154271</v>
      </c>
      <c r="BU65" s="75">
        <v>6.1955830065072437</v>
      </c>
      <c r="BV65" s="75">
        <v>5.624255765255981</v>
      </c>
      <c r="BW65" s="75">
        <v>3.372823784641743</v>
      </c>
      <c r="BX65" s="75">
        <v>3.1598714089506652</v>
      </c>
      <c r="BY65" s="75">
        <v>3.0034493843625443</v>
      </c>
      <c r="BZ65" s="75">
        <v>3.0883135367048453</v>
      </c>
      <c r="CA65" s="75">
        <v>2.9344867355032944</v>
      </c>
      <c r="CB65" s="75">
        <v>2.0334371300890997</v>
      </c>
      <c r="CC65" s="75">
        <v>-4.0975600082156838</v>
      </c>
      <c r="CD65" s="75">
        <v>-4.3063272897865161</v>
      </c>
      <c r="CE65" s="75">
        <v>-7.1846048934457336</v>
      </c>
      <c r="CF65" s="75">
        <v>-6.8741889406632284</v>
      </c>
      <c r="CG65" s="75">
        <v>-8.0380754950848505</v>
      </c>
      <c r="CH65" s="75">
        <v>-8.2524972247011501</v>
      </c>
      <c r="CI65" s="75">
        <v>-7.1392661075748709</v>
      </c>
      <c r="CJ65" s="75">
        <v>-7.1434885397001153</v>
      </c>
      <c r="CK65" s="75">
        <v>-7.9261009852440996</v>
      </c>
      <c r="CL65" s="75">
        <v>-7.874825938938379</v>
      </c>
      <c r="CM65" s="75">
        <v>-8.6898353563474746</v>
      </c>
      <c r="CN65" s="75">
        <v>-9.968719729222741</v>
      </c>
      <c r="CO65" s="75">
        <v>-5.6498417354429398</v>
      </c>
      <c r="CP65" s="75">
        <v>-2.7701021126120717</v>
      </c>
      <c r="CQ65" s="75">
        <v>-1.9479734919281788</v>
      </c>
      <c r="CR65" s="75">
        <v>-2.9656536015893908</v>
      </c>
      <c r="CS65" s="75">
        <v>-2.5026458811315933</v>
      </c>
      <c r="CT65" s="75">
        <v>1.8594335288138364</v>
      </c>
    </row>
    <row r="66" spans="1:98" ht="15.5" x14ac:dyDescent="0.35">
      <c r="A66" s="83">
        <v>36</v>
      </c>
      <c r="B66" s="44"/>
      <c r="C66" s="44"/>
      <c r="D66" s="45" t="s">
        <v>30</v>
      </c>
      <c r="E66" s="103">
        <f>E67</f>
        <v>54.540485677508798</v>
      </c>
      <c r="F66" s="90">
        <v>-4.9695224289799</v>
      </c>
      <c r="G66" s="90">
        <v>3.683166676442684</v>
      </c>
      <c r="H66" s="90">
        <v>3.683166676442684</v>
      </c>
      <c r="I66" s="90">
        <v>3.683166676442684</v>
      </c>
      <c r="J66" s="90">
        <v>3.683166676442684</v>
      </c>
      <c r="K66" s="90">
        <v>3.683166676442684</v>
      </c>
      <c r="L66" s="90">
        <v>3.683166676442684</v>
      </c>
      <c r="M66" s="90">
        <v>3.683166676442684</v>
      </c>
      <c r="N66" s="90">
        <v>3.683166676442684</v>
      </c>
      <c r="O66" s="90">
        <v>3.683166676442684</v>
      </c>
      <c r="P66" s="90">
        <v>3.683166676442684</v>
      </c>
      <c r="Q66" s="90">
        <v>3.683166676442684</v>
      </c>
      <c r="R66" s="90">
        <v>0.5688210460456089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4.7662631154510304</v>
      </c>
      <c r="BC66" s="90">
        <v>4.7662631154510304</v>
      </c>
      <c r="BD66" s="90">
        <v>4.7662631154510304</v>
      </c>
      <c r="BE66" s="90">
        <v>4.7662631154510304</v>
      </c>
      <c r="BF66" s="90">
        <v>4.7662631154510304</v>
      </c>
      <c r="BG66" s="90">
        <v>4.7662631154510304</v>
      </c>
      <c r="BH66" s="90">
        <v>4.7662631154510304</v>
      </c>
      <c r="BI66" s="90">
        <v>4.7662631154510304</v>
      </c>
      <c r="BJ66" s="90">
        <v>4.7662631154510304</v>
      </c>
      <c r="BK66" s="90">
        <v>4.7662631154510304</v>
      </c>
      <c r="BL66" s="90">
        <v>4.7662631154510304</v>
      </c>
      <c r="BM66" s="90">
        <v>4.7662631154510304</v>
      </c>
      <c r="BN66" s="90">
        <v>7.9255217408040535</v>
      </c>
      <c r="BO66" s="90">
        <v>8.7924613623077352</v>
      </c>
      <c r="BP66" s="90">
        <v>9.6535915298260555</v>
      </c>
      <c r="BQ66" s="90">
        <v>10.532974471595381</v>
      </c>
      <c r="BR66" s="90">
        <v>10.532974471595381</v>
      </c>
      <c r="BS66" s="90">
        <v>10.532974471595381</v>
      </c>
      <c r="BT66" s="90">
        <v>10.532974471595381</v>
      </c>
      <c r="BU66" s="90">
        <v>10.532974471595381</v>
      </c>
      <c r="BV66" s="90">
        <v>10.532974471595381</v>
      </c>
      <c r="BW66" s="90">
        <v>10.532974471595381</v>
      </c>
      <c r="BX66" s="90">
        <v>10.532974471595381</v>
      </c>
      <c r="BY66" s="90">
        <v>10.532974471595381</v>
      </c>
      <c r="BZ66" s="90">
        <v>2.4159741724978145</v>
      </c>
      <c r="CA66" s="90">
        <v>3.1884248580043906</v>
      </c>
      <c r="CB66" s="90">
        <v>2.3780668538185168</v>
      </c>
      <c r="CC66" s="90">
        <v>1.5635630730874039</v>
      </c>
      <c r="CD66" s="90">
        <v>1.5635630730874039</v>
      </c>
      <c r="CE66" s="90">
        <v>1.5635630730874039</v>
      </c>
      <c r="CF66" s="90">
        <v>1.5635630730874039</v>
      </c>
      <c r="CG66" s="90">
        <v>1.5635630730874039</v>
      </c>
      <c r="CH66" s="90">
        <v>1.5635630730874039</v>
      </c>
      <c r="CI66" s="90">
        <v>1.5635630730874039</v>
      </c>
      <c r="CJ66" s="90">
        <v>1.5635630730874039</v>
      </c>
      <c r="CK66" s="90">
        <v>1.5635630730874039</v>
      </c>
      <c r="CL66" s="90">
        <v>1.5635630730874039</v>
      </c>
      <c r="CM66" s="90">
        <v>0</v>
      </c>
      <c r="CN66" s="90">
        <v>0</v>
      </c>
      <c r="CO66" s="90">
        <v>0</v>
      </c>
      <c r="CP66" s="90">
        <v>0</v>
      </c>
      <c r="CQ66" s="90">
        <v>0.44492380780669638</v>
      </c>
      <c r="CR66" s="90">
        <v>0.44492380780669638</v>
      </c>
      <c r="CS66" s="90">
        <v>0.44492380780669638</v>
      </c>
      <c r="CT66" s="90">
        <v>0.44492380780669638</v>
      </c>
    </row>
    <row r="67" spans="1:98" ht="15.5" x14ac:dyDescent="0.35">
      <c r="A67" s="88"/>
      <c r="B67" s="42">
        <v>360</v>
      </c>
      <c r="C67" s="37">
        <v>3600</v>
      </c>
      <c r="D67" s="40" t="s">
        <v>128</v>
      </c>
      <c r="E67" s="102">
        <f>[1]CLASSI_EAI!G1159</f>
        <v>54.540485677508798</v>
      </c>
      <c r="F67" s="75">
        <v>-4.9695224289799</v>
      </c>
      <c r="G67" s="75">
        <v>3.683166676442684</v>
      </c>
      <c r="H67" s="75">
        <v>3.683166676442684</v>
      </c>
      <c r="I67" s="75">
        <v>3.683166676442684</v>
      </c>
      <c r="J67" s="75">
        <v>3.683166676442684</v>
      </c>
      <c r="K67" s="75">
        <v>3.683166676442684</v>
      </c>
      <c r="L67" s="75">
        <v>3.683166676442684</v>
      </c>
      <c r="M67" s="75">
        <v>3.683166676442684</v>
      </c>
      <c r="N67" s="75">
        <v>3.683166676442684</v>
      </c>
      <c r="O67" s="75">
        <v>3.683166676442684</v>
      </c>
      <c r="P67" s="75">
        <v>3.683166676442684</v>
      </c>
      <c r="Q67" s="75">
        <v>3.683166676442684</v>
      </c>
      <c r="R67" s="75">
        <v>0.5688210460456089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4.7662631154510304</v>
      </c>
      <c r="BC67" s="75">
        <v>4.7662631154510304</v>
      </c>
      <c r="BD67" s="75">
        <v>4.7662631154510304</v>
      </c>
      <c r="BE67" s="75">
        <v>4.7662631154510304</v>
      </c>
      <c r="BF67" s="75">
        <v>4.7662631154510304</v>
      </c>
      <c r="BG67" s="75">
        <v>4.7662631154510304</v>
      </c>
      <c r="BH67" s="75">
        <v>4.7662631154510304</v>
      </c>
      <c r="BI67" s="75">
        <v>4.7662631154510304</v>
      </c>
      <c r="BJ67" s="75">
        <v>4.7662631154510304</v>
      </c>
      <c r="BK67" s="75">
        <v>4.7662631154510304</v>
      </c>
      <c r="BL67" s="75">
        <v>4.7662631154510304</v>
      </c>
      <c r="BM67" s="75">
        <v>4.7662631154510304</v>
      </c>
      <c r="BN67" s="75">
        <v>7.9255217408040535</v>
      </c>
      <c r="BO67" s="75">
        <v>8.7924613623077352</v>
      </c>
      <c r="BP67" s="75">
        <v>9.6535915298260555</v>
      </c>
      <c r="BQ67" s="75">
        <v>10.532974471595381</v>
      </c>
      <c r="BR67" s="75">
        <v>10.532974471595381</v>
      </c>
      <c r="BS67" s="75">
        <v>10.532974471595381</v>
      </c>
      <c r="BT67" s="75">
        <v>10.532974471595381</v>
      </c>
      <c r="BU67" s="75">
        <v>10.532974471595381</v>
      </c>
      <c r="BV67" s="75">
        <v>10.532974471595381</v>
      </c>
      <c r="BW67" s="75">
        <v>10.532974471595381</v>
      </c>
      <c r="BX67" s="75">
        <v>10.532974471595381</v>
      </c>
      <c r="BY67" s="75">
        <v>10.532974471595381</v>
      </c>
      <c r="BZ67" s="75">
        <v>2.4159741724978145</v>
      </c>
      <c r="CA67" s="75">
        <v>3.1884248580043906</v>
      </c>
      <c r="CB67" s="75">
        <v>2.3780668538185168</v>
      </c>
      <c r="CC67" s="75">
        <v>1.5635630730874039</v>
      </c>
      <c r="CD67" s="75">
        <v>1.5635630730874039</v>
      </c>
      <c r="CE67" s="75">
        <v>1.5635630730874039</v>
      </c>
      <c r="CF67" s="75">
        <v>1.5635630730874039</v>
      </c>
      <c r="CG67" s="75">
        <v>1.5635630730874039</v>
      </c>
      <c r="CH67" s="75">
        <v>1.5635630730874039</v>
      </c>
      <c r="CI67" s="75">
        <v>1.5635630730874039</v>
      </c>
      <c r="CJ67" s="75">
        <v>1.5635630730874039</v>
      </c>
      <c r="CK67" s="75">
        <v>1.5635630730874039</v>
      </c>
      <c r="CL67" s="75">
        <v>1.5635630730874039</v>
      </c>
      <c r="CM67" s="75">
        <v>0</v>
      </c>
      <c r="CN67" s="75">
        <v>0</v>
      </c>
      <c r="CO67" s="75">
        <v>0</v>
      </c>
      <c r="CP67" s="75">
        <v>0</v>
      </c>
      <c r="CQ67" s="75">
        <v>0.44492380780669638</v>
      </c>
      <c r="CR67" s="75">
        <v>0.44492380780669638</v>
      </c>
      <c r="CS67" s="75">
        <v>0.44492380780669638</v>
      </c>
      <c r="CT67" s="75">
        <v>0.44492380780669638</v>
      </c>
    </row>
    <row r="68" spans="1:98" ht="15.5" x14ac:dyDescent="0.35">
      <c r="A68" s="83">
        <v>37</v>
      </c>
      <c r="B68" s="44"/>
      <c r="C68" s="44"/>
      <c r="D68" s="45" t="s">
        <v>31</v>
      </c>
      <c r="E68" s="103">
        <f>E69</f>
        <v>0.28435209827665497</v>
      </c>
      <c r="F68" s="90">
        <v>-4.9695224289799338</v>
      </c>
      <c r="G68" s="90">
        <v>3.6831666764426618</v>
      </c>
      <c r="H68" s="90">
        <v>3.6831666764426618</v>
      </c>
      <c r="I68" s="90">
        <v>3.6831666764426618</v>
      </c>
      <c r="J68" s="90">
        <v>3.6831666764426618</v>
      </c>
      <c r="K68" s="90">
        <v>3.6831666764426618</v>
      </c>
      <c r="L68" s="90">
        <v>3.6831666764426618</v>
      </c>
      <c r="M68" s="90">
        <v>3.6831666764426618</v>
      </c>
      <c r="N68" s="90">
        <v>3.6831666764426618</v>
      </c>
      <c r="O68" s="90">
        <v>3.6831666764426618</v>
      </c>
      <c r="P68" s="90">
        <v>3.6831666764426618</v>
      </c>
      <c r="Q68" s="90">
        <v>3.6831666764426618</v>
      </c>
      <c r="R68" s="90">
        <v>0.5688210460456089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  <c r="CT68" s="90">
        <v>0</v>
      </c>
    </row>
    <row r="69" spans="1:98" ht="15.5" x14ac:dyDescent="0.35">
      <c r="A69" s="88"/>
      <c r="B69" s="42">
        <v>370</v>
      </c>
      <c r="C69" s="37">
        <v>3700</v>
      </c>
      <c r="D69" s="40" t="s">
        <v>31</v>
      </c>
      <c r="E69" s="102">
        <f>[1]CLASSI_EAI!G1168</f>
        <v>0.28435209827665497</v>
      </c>
      <c r="F69" s="75">
        <v>-4.9695224289799338</v>
      </c>
      <c r="G69" s="75">
        <v>3.6831666764426618</v>
      </c>
      <c r="H69" s="75">
        <v>3.6831666764426618</v>
      </c>
      <c r="I69" s="75">
        <v>3.6831666764426618</v>
      </c>
      <c r="J69" s="75">
        <v>3.6831666764426618</v>
      </c>
      <c r="K69" s="75">
        <v>3.6831666764426618</v>
      </c>
      <c r="L69" s="75">
        <v>3.6831666764426618</v>
      </c>
      <c r="M69" s="75">
        <v>3.6831666764426618</v>
      </c>
      <c r="N69" s="75">
        <v>3.6831666764426618</v>
      </c>
      <c r="O69" s="75">
        <v>3.6831666764426618</v>
      </c>
      <c r="P69" s="75">
        <v>3.6831666764426618</v>
      </c>
      <c r="Q69" s="75">
        <v>3.6831666764426618</v>
      </c>
      <c r="R69" s="75">
        <v>0.5688210460456089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  <c r="CT69" s="75">
        <v>0</v>
      </c>
    </row>
    <row r="70" spans="1:98" ht="15.5" x14ac:dyDescent="0.35">
      <c r="A70" s="83">
        <v>38</v>
      </c>
      <c r="B70" s="44"/>
      <c r="C70" s="44"/>
      <c r="D70" s="45" t="s">
        <v>32</v>
      </c>
      <c r="E70" s="108">
        <f>E71+E72</f>
        <v>6.6639051030359813</v>
      </c>
      <c r="F70" s="95">
        <v>-3.6293745251597453</v>
      </c>
      <c r="G70" s="95">
        <v>2.6356074407349661</v>
      </c>
      <c r="H70" s="95">
        <v>2.6356074407349661</v>
      </c>
      <c r="I70" s="95">
        <v>2.6356074407349661</v>
      </c>
      <c r="J70" s="95">
        <v>2.6356074407349661</v>
      </c>
      <c r="K70" s="95">
        <v>2.6356074407349661</v>
      </c>
      <c r="L70" s="95">
        <v>2.6356074407349661</v>
      </c>
      <c r="M70" s="95">
        <v>2.6356074407349661</v>
      </c>
      <c r="N70" s="95">
        <v>2.6356074407349661</v>
      </c>
      <c r="O70" s="95">
        <v>2.6356074407349661</v>
      </c>
      <c r="P70" s="95">
        <v>2.6356074407349661</v>
      </c>
      <c r="Q70" s="95">
        <v>2.6356074407349661</v>
      </c>
      <c r="R70" s="95">
        <v>0.41018206874383623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0</v>
      </c>
      <c r="Y70" s="95">
        <v>0</v>
      </c>
      <c r="Z70" s="95">
        <v>0</v>
      </c>
      <c r="AA70" s="95">
        <v>0</v>
      </c>
      <c r="AB70" s="95">
        <v>0</v>
      </c>
      <c r="AC70" s="95">
        <v>0.44333721662350722</v>
      </c>
      <c r="AD70" s="95">
        <v>0.44333721662350722</v>
      </c>
      <c r="AE70" s="95">
        <v>0.44333721662350722</v>
      </c>
      <c r="AF70" s="95">
        <v>0.44333721662350722</v>
      </c>
      <c r="AG70" s="95">
        <v>0.44333721662350722</v>
      </c>
      <c r="AH70" s="95">
        <v>0.44333721662350722</v>
      </c>
      <c r="AI70" s="95">
        <v>0.44333721662350722</v>
      </c>
      <c r="AJ70" s="95">
        <v>0.44333721662350722</v>
      </c>
      <c r="AK70" s="95">
        <v>0.44333721662350722</v>
      </c>
      <c r="AL70" s="95">
        <v>0.44333721662350722</v>
      </c>
      <c r="AM70" s="95">
        <v>0.44333721662350722</v>
      </c>
      <c r="AN70" s="95">
        <v>0.44333721662350722</v>
      </c>
      <c r="AO70" s="95">
        <v>0</v>
      </c>
      <c r="AP70" s="95">
        <v>0</v>
      </c>
      <c r="AQ70" s="95">
        <v>0</v>
      </c>
      <c r="AR70" s="95">
        <v>0</v>
      </c>
      <c r="AS70" s="95">
        <v>0</v>
      </c>
      <c r="AT70" s="95">
        <v>0</v>
      </c>
      <c r="AU70" s="95">
        <v>0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95">
        <v>0</v>
      </c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95">
        <v>0</v>
      </c>
      <c r="BP70" s="95">
        <v>0</v>
      </c>
      <c r="BQ70" s="95">
        <v>0</v>
      </c>
      <c r="BR70" s="95">
        <v>0</v>
      </c>
      <c r="BS70" s="95">
        <v>0</v>
      </c>
      <c r="BT70" s="95">
        <v>0</v>
      </c>
      <c r="BU70" s="95">
        <v>0</v>
      </c>
      <c r="BV70" s="95">
        <v>0</v>
      </c>
      <c r="BW70" s="95">
        <v>0</v>
      </c>
      <c r="BX70" s="95">
        <v>0</v>
      </c>
      <c r="BY70" s="95">
        <v>0</v>
      </c>
      <c r="BZ70" s="95">
        <v>0</v>
      </c>
      <c r="CA70" s="95">
        <v>0</v>
      </c>
      <c r="CB70" s="95">
        <v>0</v>
      </c>
      <c r="CC70" s="95">
        <v>0</v>
      </c>
      <c r="CD70" s="95">
        <v>0</v>
      </c>
      <c r="CE70" s="95">
        <v>0</v>
      </c>
      <c r="CF70" s="95">
        <v>0</v>
      </c>
      <c r="CG70" s="95">
        <v>0</v>
      </c>
      <c r="CH70" s="95">
        <v>0</v>
      </c>
      <c r="CI70" s="95">
        <v>0</v>
      </c>
      <c r="CJ70" s="95">
        <v>1.1933814364424755</v>
      </c>
      <c r="CK70" s="95">
        <v>1.1933814364424755</v>
      </c>
      <c r="CL70" s="95">
        <v>5.8579753078545238</v>
      </c>
      <c r="CM70" s="95">
        <v>5.8579753078545238</v>
      </c>
      <c r="CN70" s="95">
        <v>5.8579753078545238</v>
      </c>
      <c r="CO70" s="95">
        <v>5.8579753078545238</v>
      </c>
      <c r="CP70" s="95">
        <v>5.8579753078545238</v>
      </c>
      <c r="CQ70" s="95">
        <v>5.8579753078545238</v>
      </c>
      <c r="CR70" s="95">
        <v>5.8579753078545238</v>
      </c>
      <c r="CS70" s="95">
        <v>5.8579753078545238</v>
      </c>
      <c r="CT70" s="95">
        <v>5.8579753078545238</v>
      </c>
    </row>
    <row r="71" spans="1:98" ht="15.5" x14ac:dyDescent="0.35">
      <c r="A71" s="88"/>
      <c r="B71" s="46">
        <v>381</v>
      </c>
      <c r="C71" s="46"/>
      <c r="D71" s="49" t="s">
        <v>129</v>
      </c>
      <c r="E71" s="109">
        <f>E75+E74</f>
        <v>2.1710951189784709</v>
      </c>
      <c r="F71" s="96">
        <v>-0.76201716650455831</v>
      </c>
      <c r="G71" s="96">
        <v>0.54421654183018919</v>
      </c>
      <c r="H71" s="96">
        <v>0.54421654183018919</v>
      </c>
      <c r="I71" s="96">
        <v>0.54421654183018919</v>
      </c>
      <c r="J71" s="96">
        <v>0.54421654183018919</v>
      </c>
      <c r="K71" s="96">
        <v>0.54421654183018919</v>
      </c>
      <c r="L71" s="96">
        <v>0.54421654183018919</v>
      </c>
      <c r="M71" s="96">
        <v>0.54421654183018919</v>
      </c>
      <c r="N71" s="96">
        <v>0.54421654183018919</v>
      </c>
      <c r="O71" s="96">
        <v>0.54421654183018919</v>
      </c>
      <c r="P71" s="96">
        <v>0.54421654183018919</v>
      </c>
      <c r="Q71" s="96">
        <v>0.54421654183018919</v>
      </c>
      <c r="R71" s="96">
        <v>8.5151673259820093E-2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1.3560664751164797</v>
      </c>
      <c r="AD71" s="96">
        <v>1.3560664751164797</v>
      </c>
      <c r="AE71" s="96">
        <v>1.3560664751164797</v>
      </c>
      <c r="AF71" s="96">
        <v>1.3560664751164797</v>
      </c>
      <c r="AG71" s="96">
        <v>1.3560664751164797</v>
      </c>
      <c r="AH71" s="96">
        <v>1.3560664751164797</v>
      </c>
      <c r="AI71" s="96">
        <v>1.3560664751164797</v>
      </c>
      <c r="AJ71" s="96">
        <v>1.3560664751164797</v>
      </c>
      <c r="AK71" s="96">
        <v>1.3560664751164797</v>
      </c>
      <c r="AL71" s="96">
        <v>1.3560664751164797</v>
      </c>
      <c r="AM71" s="96">
        <v>1.3560664751164797</v>
      </c>
      <c r="AN71" s="96">
        <v>1.3560664751164797</v>
      </c>
      <c r="AO71" s="96">
        <v>0</v>
      </c>
      <c r="AP71" s="96">
        <v>0</v>
      </c>
      <c r="AQ71" s="96">
        <v>0</v>
      </c>
      <c r="AR71" s="96">
        <v>0</v>
      </c>
      <c r="AS71" s="96">
        <v>0</v>
      </c>
      <c r="AT71" s="96">
        <v>0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96">
        <v>0</v>
      </c>
      <c r="BF71" s="96">
        <v>0</v>
      </c>
      <c r="BG71" s="96">
        <v>0</v>
      </c>
      <c r="BH71" s="96">
        <v>0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3.6174076522963894</v>
      </c>
      <c r="CK71" s="96">
        <v>3.6174076522963894</v>
      </c>
      <c r="CL71" s="96">
        <v>3.6174076522963894</v>
      </c>
      <c r="CM71" s="96">
        <v>3.6174076522963894</v>
      </c>
      <c r="CN71" s="96">
        <v>3.6174076522963894</v>
      </c>
      <c r="CO71" s="96">
        <v>3.6174076522963894</v>
      </c>
      <c r="CP71" s="96">
        <v>3.6174076522963894</v>
      </c>
      <c r="CQ71" s="96">
        <v>3.6174076522963894</v>
      </c>
      <c r="CR71" s="96">
        <v>3.6174076522963894</v>
      </c>
      <c r="CS71" s="96">
        <v>3.6174076522963894</v>
      </c>
      <c r="CT71" s="96">
        <v>3.6174076522963894</v>
      </c>
    </row>
    <row r="72" spans="1:98" ht="15.5" x14ac:dyDescent="0.35">
      <c r="A72" s="88"/>
      <c r="B72" s="46">
        <v>383</v>
      </c>
      <c r="C72" s="46"/>
      <c r="D72" s="49" t="s">
        <v>130</v>
      </c>
      <c r="E72" s="109">
        <f>E73</f>
        <v>4.4928099840575104</v>
      </c>
      <c r="F72" s="97">
        <v>-4.9695224289799222</v>
      </c>
      <c r="G72" s="97">
        <v>3.683166676442684</v>
      </c>
      <c r="H72" s="97">
        <v>3.683166676442684</v>
      </c>
      <c r="I72" s="97">
        <v>3.683166676442684</v>
      </c>
      <c r="J72" s="97">
        <v>3.683166676442684</v>
      </c>
      <c r="K72" s="97">
        <v>3.683166676442684</v>
      </c>
      <c r="L72" s="97">
        <v>3.683166676442684</v>
      </c>
      <c r="M72" s="97">
        <v>3.683166676442684</v>
      </c>
      <c r="N72" s="97">
        <v>3.683166676442684</v>
      </c>
      <c r="O72" s="97">
        <v>3.683166676442684</v>
      </c>
      <c r="P72" s="97">
        <v>3.683166676442684</v>
      </c>
      <c r="Q72" s="97">
        <v>3.683166676442684</v>
      </c>
      <c r="R72" s="97">
        <v>0.5688210460456089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>
        <v>0</v>
      </c>
      <c r="AS72" s="97">
        <v>0</v>
      </c>
      <c r="AT72" s="97">
        <v>0</v>
      </c>
      <c r="AU72" s="97">
        <v>0</v>
      </c>
      <c r="AV72" s="97">
        <v>0</v>
      </c>
      <c r="AW72" s="97">
        <v>0</v>
      </c>
      <c r="AX72" s="97">
        <v>0</v>
      </c>
      <c r="AY72" s="97">
        <v>0</v>
      </c>
      <c r="AZ72" s="97">
        <v>0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97">
        <v>0</v>
      </c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6.9610375725068785</v>
      </c>
      <c r="CM72" s="97">
        <v>6.9610375725068785</v>
      </c>
      <c r="CN72" s="97">
        <v>6.9610375725068785</v>
      </c>
      <c r="CO72" s="97">
        <v>6.9610375725068785</v>
      </c>
      <c r="CP72" s="97">
        <v>6.9610375725068785</v>
      </c>
      <c r="CQ72" s="97">
        <v>6.9610375725068785</v>
      </c>
      <c r="CR72" s="97">
        <v>6.9610375725068785</v>
      </c>
      <c r="CS72" s="97">
        <v>6.9610375725068785</v>
      </c>
      <c r="CT72" s="97">
        <v>6.9610375725068785</v>
      </c>
    </row>
    <row r="73" spans="1:98" ht="15.5" x14ac:dyDescent="0.35">
      <c r="A73" s="88"/>
      <c r="B73" s="42"/>
      <c r="C73" s="37">
        <v>3830</v>
      </c>
      <c r="D73" s="40" t="s">
        <v>130</v>
      </c>
      <c r="E73" s="102">
        <f>[1]CLASSI_EAI!G1193</f>
        <v>4.4928099840575104</v>
      </c>
      <c r="F73" s="75">
        <v>-4.9695224289799222</v>
      </c>
      <c r="G73" s="75">
        <v>3.683166676442684</v>
      </c>
      <c r="H73" s="75">
        <v>3.683166676442684</v>
      </c>
      <c r="I73" s="75">
        <v>3.683166676442684</v>
      </c>
      <c r="J73" s="75">
        <v>3.683166676442684</v>
      </c>
      <c r="K73" s="75">
        <v>3.683166676442684</v>
      </c>
      <c r="L73" s="75">
        <v>3.683166676442684</v>
      </c>
      <c r="M73" s="75">
        <v>3.683166676442684</v>
      </c>
      <c r="N73" s="75">
        <v>3.683166676442684</v>
      </c>
      <c r="O73" s="75">
        <v>3.683166676442684</v>
      </c>
      <c r="P73" s="75">
        <v>3.683166676442684</v>
      </c>
      <c r="Q73" s="75">
        <v>3.683166676442684</v>
      </c>
      <c r="R73" s="75">
        <v>0.5688210460456089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6.9610375725068785</v>
      </c>
      <c r="CM73" s="75">
        <v>6.9610375725068785</v>
      </c>
      <c r="CN73" s="75">
        <v>6.9610375725068785</v>
      </c>
      <c r="CO73" s="75">
        <v>6.9610375725068785</v>
      </c>
      <c r="CP73" s="75">
        <v>6.9610375725068785</v>
      </c>
      <c r="CQ73" s="75">
        <v>6.9610375725068785</v>
      </c>
      <c r="CR73" s="75">
        <v>6.9610375725068785</v>
      </c>
      <c r="CS73" s="75">
        <v>6.9610375725068785</v>
      </c>
      <c r="CT73" s="75">
        <v>6.9610375725068785</v>
      </c>
    </row>
    <row r="74" spans="1:98" ht="15.5" x14ac:dyDescent="0.35">
      <c r="A74" s="88"/>
      <c r="B74" s="42"/>
      <c r="C74" s="31" t="s">
        <v>131</v>
      </c>
      <c r="D74" s="40" t="s">
        <v>132</v>
      </c>
      <c r="E74" s="102">
        <f>VLOOKUP(C74,[1]CLASSI_EAI!A:G,7,FALSE)</f>
        <v>1.8973070416886</v>
      </c>
      <c r="F74" s="75">
        <v>-0.72553419032733713</v>
      </c>
      <c r="G74" s="75">
        <v>0.51804565355852983</v>
      </c>
      <c r="H74" s="75">
        <v>0.51804565355852983</v>
      </c>
      <c r="I74" s="75">
        <v>0.51804565355852983</v>
      </c>
      <c r="J74" s="75">
        <v>0.51804565355852983</v>
      </c>
      <c r="K74" s="75">
        <v>0.51804565355852983</v>
      </c>
      <c r="L74" s="75">
        <v>0.51804565355852983</v>
      </c>
      <c r="M74" s="75">
        <v>0.51804565355852983</v>
      </c>
      <c r="N74" s="75">
        <v>0.51804565355852983</v>
      </c>
      <c r="O74" s="75">
        <v>0.51804565355852983</v>
      </c>
      <c r="P74" s="75">
        <v>0.51804565355852983</v>
      </c>
      <c r="Q74" s="75">
        <v>0.51804565355852983</v>
      </c>
      <c r="R74" s="75">
        <v>8.1062747808102742E-2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4.195362743720854</v>
      </c>
      <c r="CK74" s="75">
        <v>4.195362743720854</v>
      </c>
      <c r="CL74" s="75">
        <v>4.195362743720854</v>
      </c>
      <c r="CM74" s="75">
        <v>4.195362743720854</v>
      </c>
      <c r="CN74" s="75">
        <v>4.195362743720854</v>
      </c>
      <c r="CO74" s="75">
        <v>4.195362743720854</v>
      </c>
      <c r="CP74" s="75">
        <v>4.195362743720854</v>
      </c>
      <c r="CQ74" s="75">
        <v>4.195362743720854</v>
      </c>
      <c r="CR74" s="75">
        <v>4.195362743720854</v>
      </c>
      <c r="CS74" s="75">
        <v>4.195362743720854</v>
      </c>
      <c r="CT74" s="75">
        <v>4.195362743720854</v>
      </c>
    </row>
    <row r="75" spans="1:98" ht="15.5" x14ac:dyDescent="0.35">
      <c r="A75" s="88"/>
      <c r="B75" s="42"/>
      <c r="C75" s="31" t="s">
        <v>133</v>
      </c>
      <c r="D75" s="40" t="s">
        <v>134</v>
      </c>
      <c r="E75" s="102">
        <f>VLOOKUP(C75,[1]CLASSI_EAI!A:G,7,FALSE)</f>
        <v>0.27378807728987098</v>
      </c>
      <c r="F75" s="75">
        <v>-1.0142718018578911</v>
      </c>
      <c r="G75" s="75">
        <v>0.72601457766854338</v>
      </c>
      <c r="H75" s="75">
        <v>0.72601457766854338</v>
      </c>
      <c r="I75" s="75">
        <v>0.72601457766854338</v>
      </c>
      <c r="J75" s="75">
        <v>0.72601457766854338</v>
      </c>
      <c r="K75" s="75">
        <v>0.72601457766854338</v>
      </c>
      <c r="L75" s="75">
        <v>0.72601457766854338</v>
      </c>
      <c r="M75" s="75">
        <v>0.72601457766854338</v>
      </c>
      <c r="N75" s="75">
        <v>0.72601457766854338</v>
      </c>
      <c r="O75" s="75">
        <v>0.72601457766854338</v>
      </c>
      <c r="P75" s="75">
        <v>0.72601457766854338</v>
      </c>
      <c r="Q75" s="75">
        <v>0.72601457766854338</v>
      </c>
      <c r="R75" s="75">
        <v>0.1135062432227496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10.756634324829006</v>
      </c>
      <c r="AD75" s="75">
        <v>10.756634324829006</v>
      </c>
      <c r="AE75" s="75">
        <v>10.756634324829006</v>
      </c>
      <c r="AF75" s="75">
        <v>10.756634324829006</v>
      </c>
      <c r="AG75" s="75">
        <v>10.756634324829006</v>
      </c>
      <c r="AH75" s="75">
        <v>10.756634324829006</v>
      </c>
      <c r="AI75" s="75">
        <v>10.756634324829006</v>
      </c>
      <c r="AJ75" s="75">
        <v>10.756634324829006</v>
      </c>
      <c r="AK75" s="75">
        <v>10.756634324829006</v>
      </c>
      <c r="AL75" s="75">
        <v>10.756634324829006</v>
      </c>
      <c r="AM75" s="75">
        <v>10.756634324829006</v>
      </c>
      <c r="AN75" s="75">
        <v>10.756634324829006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  <c r="CT75" s="75">
        <v>0</v>
      </c>
    </row>
    <row r="76" spans="1:98" ht="15.5" x14ac:dyDescent="0.35">
      <c r="A76" s="85"/>
      <c r="B76" s="46"/>
      <c r="C76" s="68"/>
      <c r="D76" s="46"/>
      <c r="E76" s="110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</row>
    <row r="77" spans="1:98" ht="15.5" x14ac:dyDescent="0.35">
      <c r="B77" s="46"/>
      <c r="C77" s="68"/>
      <c r="D77" s="46"/>
      <c r="E77" s="110">
        <f>E70+E68+E66+E64+E57+E54+E52+E50+E46+E44+E42+E38+E36+E32+E30+E28+E26+E23+E21+E16+E3</f>
        <v>1000.0000000000002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</row>
    <row r="78" spans="1:98" ht="15.5" x14ac:dyDescent="0.35">
      <c r="B78" s="77"/>
      <c r="C78" s="77"/>
      <c r="D78" s="77"/>
      <c r="E78" s="110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</row>
    <row r="79" spans="1:98" ht="15.5" x14ac:dyDescent="0.35">
      <c r="B79" s="77"/>
      <c r="C79" s="77"/>
      <c r="D79" s="77"/>
      <c r="E79" s="110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</row>
    <row r="80" spans="1:98" ht="15.5" x14ac:dyDescent="0.35">
      <c r="E80" s="110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">
    <cfRule type="colorScale" priority="1">
      <colorScale>
        <cfvo type="min"/>
        <cfvo type="max"/>
        <color theme="9" tint="0.39994506668294322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D61">
    <cfRule type="colorScale" priority="23">
      <colorScale>
        <cfvo type="min"/>
        <cfvo type="max"/>
        <color theme="9" tint="0.39994506668294322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5">
      <colorScale>
        <cfvo type="min"/>
        <cfvo type="max"/>
        <color theme="9" tint="0.39994506668294322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:CT61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D41-98D0-4DAE-86CF-5D4709B9A7A3}">
  <dimension ref="A1:DI80"/>
  <sheetViews>
    <sheetView tabSelected="1" workbookViewId="0">
      <pane xSplit="5" topLeftCell="DE1" activePane="topRight" state="frozen"/>
      <selection pane="topRight" activeCell="DF3" sqref="DF3:DF75"/>
    </sheetView>
  </sheetViews>
  <sheetFormatPr defaultRowHeight="14.5" x14ac:dyDescent="0.35"/>
  <cols>
    <col min="1" max="2" width="9.1796875" style="80"/>
    <col min="3" max="3" width="10.81640625" style="80" customWidth="1"/>
    <col min="4" max="4" width="99.1796875" bestFit="1" customWidth="1"/>
    <col min="5" max="5" width="10.453125" bestFit="1" customWidth="1"/>
  </cols>
  <sheetData>
    <row r="1" spans="1:113" ht="15.5" x14ac:dyDescent="0.35">
      <c r="A1" s="112" t="s">
        <v>59</v>
      </c>
      <c r="B1" s="112"/>
      <c r="C1" s="112"/>
      <c r="D1" s="3" t="s">
        <v>11</v>
      </c>
      <c r="E1" s="18" t="s">
        <v>2</v>
      </c>
      <c r="F1" s="5">
        <v>42917</v>
      </c>
      <c r="G1" s="5">
        <v>42948</v>
      </c>
      <c r="H1" s="5">
        <v>42979</v>
      </c>
      <c r="I1" s="5">
        <v>43009</v>
      </c>
      <c r="J1" s="5">
        <v>43040</v>
      </c>
      <c r="K1" s="5">
        <v>43070</v>
      </c>
      <c r="L1" s="5">
        <v>43101</v>
      </c>
      <c r="M1" s="5">
        <v>43132</v>
      </c>
      <c r="N1" s="5">
        <v>43160</v>
      </c>
      <c r="O1" s="5">
        <v>43191</v>
      </c>
      <c r="P1" s="5">
        <v>43221</v>
      </c>
      <c r="Q1" s="5">
        <v>43252</v>
      </c>
      <c r="R1" s="5">
        <v>43282</v>
      </c>
      <c r="S1" s="5">
        <v>43313</v>
      </c>
      <c r="T1" s="5">
        <v>43344</v>
      </c>
      <c r="U1" s="5">
        <v>43374</v>
      </c>
      <c r="V1" s="5">
        <v>43405</v>
      </c>
      <c r="W1" s="5">
        <v>43435</v>
      </c>
      <c r="X1" s="5">
        <v>43466</v>
      </c>
      <c r="Y1" s="5">
        <v>43497</v>
      </c>
      <c r="Z1" s="5">
        <v>43525</v>
      </c>
      <c r="AA1" s="5">
        <v>43556</v>
      </c>
      <c r="AB1" s="5">
        <v>43586</v>
      </c>
      <c r="AC1" s="5">
        <v>43617</v>
      </c>
      <c r="AD1" s="5">
        <v>43647</v>
      </c>
      <c r="AE1" s="5">
        <v>43678</v>
      </c>
      <c r="AF1" s="5">
        <v>43709</v>
      </c>
      <c r="AG1" s="5">
        <v>43739</v>
      </c>
      <c r="AH1" s="5">
        <v>43770</v>
      </c>
      <c r="AI1" s="5">
        <v>43800</v>
      </c>
      <c r="AJ1" s="5">
        <v>43831</v>
      </c>
      <c r="AK1" s="5">
        <v>43862</v>
      </c>
      <c r="AL1" s="5">
        <v>43891</v>
      </c>
      <c r="AM1" s="5">
        <v>43922</v>
      </c>
      <c r="AN1" s="5">
        <v>43952</v>
      </c>
      <c r="AO1" s="5">
        <v>43983</v>
      </c>
      <c r="AP1" s="5">
        <v>44013</v>
      </c>
      <c r="AQ1" s="5">
        <v>44044</v>
      </c>
      <c r="AR1" s="5">
        <v>44075</v>
      </c>
      <c r="AS1" s="5">
        <v>44105</v>
      </c>
      <c r="AT1" s="5">
        <v>44136</v>
      </c>
      <c r="AU1" s="5">
        <v>44166</v>
      </c>
      <c r="AV1" s="5">
        <v>44197</v>
      </c>
      <c r="AW1" s="5">
        <v>44228</v>
      </c>
      <c r="AX1" s="5">
        <v>44256</v>
      </c>
      <c r="AY1" s="5">
        <v>44287</v>
      </c>
      <c r="AZ1" s="5">
        <v>44317</v>
      </c>
      <c r="BA1" s="5">
        <v>44348</v>
      </c>
      <c r="BB1" s="5">
        <v>44378</v>
      </c>
      <c r="BC1" s="5">
        <v>44409</v>
      </c>
      <c r="BD1" s="5">
        <v>44440</v>
      </c>
      <c r="BE1" s="5">
        <v>44470</v>
      </c>
      <c r="BF1" s="5">
        <v>44501</v>
      </c>
      <c r="BG1" s="5">
        <v>44531</v>
      </c>
      <c r="BH1" s="5">
        <v>44562</v>
      </c>
      <c r="BI1" s="5">
        <v>44593</v>
      </c>
      <c r="BJ1" s="5">
        <v>44621</v>
      </c>
      <c r="BK1" s="5">
        <v>44652</v>
      </c>
      <c r="BL1" s="5">
        <v>44682</v>
      </c>
      <c r="BM1" s="5">
        <v>44713</v>
      </c>
      <c r="BN1" s="5">
        <v>44743</v>
      </c>
      <c r="BO1" s="5">
        <v>44774</v>
      </c>
      <c r="BP1" s="5">
        <v>44805</v>
      </c>
      <c r="BQ1" s="5">
        <v>44835</v>
      </c>
      <c r="BR1" s="5">
        <v>44866</v>
      </c>
      <c r="BS1" s="5">
        <v>44896</v>
      </c>
      <c r="BT1" s="5">
        <v>44927</v>
      </c>
      <c r="BU1" s="5">
        <v>44958</v>
      </c>
      <c r="BV1" s="5">
        <v>44986</v>
      </c>
      <c r="BW1" s="5">
        <v>45017</v>
      </c>
      <c r="BX1" s="5">
        <v>45047</v>
      </c>
      <c r="BY1" s="5">
        <v>45078</v>
      </c>
      <c r="BZ1" s="5">
        <v>45108</v>
      </c>
      <c r="CA1" s="5">
        <v>45139</v>
      </c>
      <c r="CB1" s="5">
        <v>45170</v>
      </c>
      <c r="CC1" s="5">
        <v>45200</v>
      </c>
      <c r="CD1" s="5">
        <v>45231</v>
      </c>
      <c r="CE1" s="5">
        <v>45261</v>
      </c>
      <c r="CF1" s="5">
        <v>45292</v>
      </c>
      <c r="CG1" s="5">
        <v>45323</v>
      </c>
      <c r="CH1" s="5">
        <v>45352</v>
      </c>
      <c r="CI1" s="5">
        <v>45383</v>
      </c>
      <c r="CJ1" s="5">
        <v>45413</v>
      </c>
      <c r="CK1" s="5">
        <v>45444</v>
      </c>
      <c r="CL1" s="5">
        <v>45474</v>
      </c>
      <c r="CM1" s="5">
        <v>45505</v>
      </c>
      <c r="CN1" s="5">
        <v>45536</v>
      </c>
      <c r="CO1" s="5">
        <v>45566</v>
      </c>
      <c r="CP1" s="5">
        <v>45597</v>
      </c>
      <c r="CQ1" s="5">
        <v>45627</v>
      </c>
      <c r="CR1" s="5">
        <v>45658</v>
      </c>
      <c r="CS1" s="5">
        <v>45689</v>
      </c>
      <c r="CT1" s="5">
        <v>45717</v>
      </c>
      <c r="CU1" s="5">
        <v>45748</v>
      </c>
      <c r="CV1" s="5">
        <v>45778</v>
      </c>
      <c r="CW1" s="5">
        <v>45809</v>
      </c>
      <c r="CX1" s="5">
        <v>45839</v>
      </c>
      <c r="CY1" s="5">
        <v>45870</v>
      </c>
      <c r="CZ1" s="5">
        <v>45901</v>
      </c>
      <c r="DA1" s="5">
        <v>45931</v>
      </c>
      <c r="DB1" s="5">
        <v>45962</v>
      </c>
      <c r="DC1" s="5">
        <v>45992</v>
      </c>
      <c r="DD1" s="5">
        <v>46023</v>
      </c>
      <c r="DE1" s="5">
        <v>46054</v>
      </c>
      <c r="DF1" s="5">
        <v>46082</v>
      </c>
      <c r="DG1" s="6"/>
      <c r="DH1" s="6"/>
      <c r="DI1" s="6"/>
    </row>
    <row r="2" spans="1:113" ht="15.5" x14ac:dyDescent="0.35">
      <c r="A2" s="82" t="s">
        <v>10</v>
      </c>
      <c r="B2" s="82" t="s">
        <v>60</v>
      </c>
      <c r="C2" s="82" t="s">
        <v>61</v>
      </c>
      <c r="D2" s="21" t="s">
        <v>6</v>
      </c>
      <c r="E2" s="23">
        <f>SUM(E3,E16,E21,E23,E26,E28,E30,E32,E36,E38,E42,E44,E46,E50,E52,E54,E57)</f>
        <v>886.44399108473317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6"/>
      <c r="DH2" s="26"/>
      <c r="DI2" s="26"/>
    </row>
    <row r="3" spans="1:113" ht="15.5" x14ac:dyDescent="0.35">
      <c r="A3" s="83">
        <v>10</v>
      </c>
      <c r="B3" s="83"/>
      <c r="C3" s="83"/>
      <c r="D3" s="45" t="s">
        <v>12</v>
      </c>
      <c r="E3" s="24">
        <f>SUM(E4:E15)</f>
        <v>358.35505688192308</v>
      </c>
      <c r="F3" s="70">
        <v>1.3839257766480983</v>
      </c>
      <c r="G3" s="70">
        <v>1.7225259533470094</v>
      </c>
      <c r="H3" s="70">
        <v>-2.5843586746598923E-2</v>
      </c>
      <c r="I3" s="70">
        <v>0.58212979038367862</v>
      </c>
      <c r="J3" s="70">
        <v>-1.2669487660345147</v>
      </c>
      <c r="K3" s="70">
        <v>-2.8620798238398026</v>
      </c>
      <c r="L3" s="70">
        <v>-1.3084468553263506</v>
      </c>
      <c r="M3" s="70">
        <v>0.12089940709365532</v>
      </c>
      <c r="N3" s="70">
        <v>0.17678209999074657</v>
      </c>
      <c r="O3" s="70">
        <v>0.59260347557974491</v>
      </c>
      <c r="P3" s="70">
        <v>0.96911264463097613</v>
      </c>
      <c r="Q3" s="70">
        <v>0.62949486042602754</v>
      </c>
      <c r="R3" s="70">
        <v>0.4469448793385622</v>
      </c>
      <c r="S3" s="70">
        <v>2.024964964517606</v>
      </c>
      <c r="T3" s="70">
        <v>0.14249966789097179</v>
      </c>
      <c r="U3" s="70">
        <v>-0.62032100690068148</v>
      </c>
      <c r="V3" s="70">
        <v>-0.94428912369881601</v>
      </c>
      <c r="W3" s="70">
        <v>-0.13172678591111264</v>
      </c>
      <c r="X3" s="70">
        <v>-0.6370333655687288</v>
      </c>
      <c r="Y3" s="70">
        <v>-0.49347572188859212</v>
      </c>
      <c r="Z3" s="70">
        <v>-6.294903282043629E-2</v>
      </c>
      <c r="AA3" s="70">
        <v>0.65589344527310356</v>
      </c>
      <c r="AB3" s="70">
        <v>0.33287300136493059</v>
      </c>
      <c r="AC3" s="70">
        <v>-0.37362181507024639</v>
      </c>
      <c r="AD3" s="70">
        <v>-0.59819007072589025</v>
      </c>
      <c r="AE3" s="70">
        <v>1.0596669649069135</v>
      </c>
      <c r="AF3" s="70">
        <v>0.78254935274020276</v>
      </c>
      <c r="AG3" s="70">
        <v>-0.13038032974072022</v>
      </c>
      <c r="AH3" s="70">
        <v>0.74488865924089431</v>
      </c>
      <c r="AI3" s="70">
        <v>1.508205802339857</v>
      </c>
      <c r="AJ3" s="70">
        <v>1.3555528769657155</v>
      </c>
      <c r="AK3" s="70">
        <v>-0.3402630669604001</v>
      </c>
      <c r="AL3" s="70">
        <v>1.2848067901378046</v>
      </c>
      <c r="AM3" s="70">
        <v>-1.5063545929039357E-2</v>
      </c>
      <c r="AN3" s="70">
        <v>-0.6455833107389175</v>
      </c>
      <c r="AO3" s="70">
        <v>0.63899852165938409</v>
      </c>
      <c r="AP3" s="70">
        <v>0.26513870918531968</v>
      </c>
      <c r="AQ3" s="70">
        <v>0.60636170227059694</v>
      </c>
      <c r="AR3" s="70">
        <v>-0.69861167343223673</v>
      </c>
      <c r="AS3" s="70">
        <v>0.52172332040982816</v>
      </c>
      <c r="AT3" s="70">
        <v>-0.34682137864883167</v>
      </c>
      <c r="AU3" s="70">
        <v>1.0902203771050223</v>
      </c>
      <c r="AV3" s="70">
        <v>1.524749006518622</v>
      </c>
      <c r="AW3" s="70">
        <v>0.78083760564722215</v>
      </c>
      <c r="AX3" s="70">
        <v>1.4353290271706065</v>
      </c>
      <c r="AY3" s="70">
        <v>0.26709443530035237</v>
      </c>
      <c r="AZ3" s="70">
        <v>0.41696492021097153</v>
      </c>
      <c r="BA3" s="70">
        <v>-0.28928217671465584</v>
      </c>
      <c r="BB3" s="70">
        <v>1.076221003132205</v>
      </c>
      <c r="BC3" s="70">
        <v>1.0309801242369021</v>
      </c>
      <c r="BD3" s="70">
        <v>-0.84261070728471887</v>
      </c>
      <c r="BE3" s="70">
        <v>1.5786753669651432</v>
      </c>
      <c r="BF3" s="70">
        <v>1.8395667728279053</v>
      </c>
      <c r="BG3" s="70">
        <v>0.44604881487013692</v>
      </c>
      <c r="BH3" s="70">
        <v>0.50115736110141196</v>
      </c>
      <c r="BI3" s="70">
        <v>8.0336548275039554E-2</v>
      </c>
      <c r="BJ3" s="70">
        <v>0.90347988450503181</v>
      </c>
      <c r="BK3" s="70">
        <v>2.6473534770859342</v>
      </c>
      <c r="BL3" s="70">
        <v>-0.18289938049005361</v>
      </c>
      <c r="BM3" s="70">
        <v>2.2078345882946104</v>
      </c>
      <c r="BN3" s="70">
        <v>0.42873673766423703</v>
      </c>
      <c r="BO3" s="70">
        <v>0.14197403855220614</v>
      </c>
      <c r="BP3" s="70">
        <v>1.524932035760207</v>
      </c>
      <c r="BQ3" s="70">
        <v>-0.72882659261938043</v>
      </c>
      <c r="BR3" s="70">
        <v>-0.31353940770683097</v>
      </c>
      <c r="BS3" s="70">
        <v>-0.34694287536999324</v>
      </c>
      <c r="BT3" s="70">
        <v>0.30710117573602425</v>
      </c>
      <c r="BU3" s="70">
        <v>-0.33448583525195197</v>
      </c>
      <c r="BV3" s="70">
        <v>-0.23001307783534486</v>
      </c>
      <c r="BW3" s="70">
        <v>0.74754262815988071</v>
      </c>
      <c r="BX3" s="70">
        <v>-0.61656988619429587</v>
      </c>
      <c r="BY3" s="70">
        <v>-0.35778618406208107</v>
      </c>
      <c r="BZ3" s="70">
        <v>0.21813459287132186</v>
      </c>
      <c r="CA3" s="70">
        <v>0.59953136562633791</v>
      </c>
      <c r="CB3" s="70">
        <v>0.17063036643492069</v>
      </c>
      <c r="CC3" s="70">
        <v>-0.60507598010282049</v>
      </c>
      <c r="CD3" s="70">
        <v>-0.20075943309177946</v>
      </c>
      <c r="CE3" s="70">
        <v>-0.30477158195015841</v>
      </c>
      <c r="CF3" s="70">
        <v>0.7224687346095493</v>
      </c>
      <c r="CG3" s="70">
        <v>0.59293852259036939</v>
      </c>
      <c r="CH3" s="70">
        <v>-0.13078951776059888</v>
      </c>
      <c r="CI3" s="70">
        <v>-0.56911081749023706</v>
      </c>
      <c r="CJ3" s="70">
        <v>3.0066610038859132E-2</v>
      </c>
      <c r="CK3" s="70">
        <v>0.30853178623335697</v>
      </c>
      <c r="CL3" s="70">
        <v>0.34624381726655606</v>
      </c>
      <c r="CM3" s="70">
        <v>0.1226365346796765</v>
      </c>
      <c r="CN3" s="70">
        <v>-0.62897705511619773</v>
      </c>
      <c r="CO3" s="70">
        <v>0.14853669536361025</v>
      </c>
      <c r="CP3" s="70">
        <v>0.76039542561023854</v>
      </c>
      <c r="CQ3" s="70">
        <v>1.1684435516347014</v>
      </c>
      <c r="CR3" s="70">
        <v>1.3885744150318846</v>
      </c>
      <c r="CS3" s="70">
        <v>0.33236199986821369</v>
      </c>
      <c r="CT3" s="70">
        <v>0.78701158297569407</v>
      </c>
      <c r="CU3" s="70">
        <v>-0.18181308011927522</v>
      </c>
      <c r="CV3" s="70">
        <v>0.66381804368260688</v>
      </c>
      <c r="CW3" s="70">
        <v>0.17843890600803824</v>
      </c>
      <c r="CX3" s="70">
        <v>0.2097915215425461</v>
      </c>
      <c r="CY3" s="70">
        <v>-0.20429440887301809</v>
      </c>
      <c r="CZ3" s="70">
        <v>-0.1079052934954805</v>
      </c>
      <c r="DA3" s="70">
        <v>-0.37584702226257649</v>
      </c>
      <c r="DB3" s="70">
        <v>-0.20657658442311266</v>
      </c>
      <c r="DC3" s="70">
        <v>0.43287906065330173</v>
      </c>
      <c r="DD3" s="70">
        <v>0.32606065393403494</v>
      </c>
      <c r="DE3" s="70">
        <v>0.42980703275430354</v>
      </c>
      <c r="DF3" s="70">
        <v>-0.2461370728438883</v>
      </c>
      <c r="DG3" s="46"/>
      <c r="DH3" s="46"/>
      <c r="DI3" s="46"/>
    </row>
    <row r="4" spans="1:113" ht="15.5" x14ac:dyDescent="0.35">
      <c r="A4" s="88"/>
      <c r="B4" s="80">
        <v>101</v>
      </c>
      <c r="C4" s="80" t="s">
        <v>135</v>
      </c>
      <c r="D4" s="13" t="s">
        <v>62</v>
      </c>
      <c r="E4" s="33">
        <f>VLOOKUP(C4,[1]CLASSI_EAI!A:G,7,FALSE)</f>
        <v>74.87264098835</v>
      </c>
      <c r="F4" s="13">
        <v>8.0295111384010021E-2</v>
      </c>
      <c r="G4" s="13">
        <v>1.8265702005222595</v>
      </c>
      <c r="H4" s="13">
        <v>-7.108193692404452E-2</v>
      </c>
      <c r="I4" s="13">
        <v>1.2742105228653156</v>
      </c>
      <c r="J4" s="13">
        <v>0.77307292957096152</v>
      </c>
      <c r="K4" s="13">
        <v>0.34537031292727338</v>
      </c>
      <c r="L4" s="13">
        <v>1.7086667858940308</v>
      </c>
      <c r="M4" s="13">
        <v>-1.0504785543934969</v>
      </c>
      <c r="N4" s="13">
        <v>1.3911446320863385</v>
      </c>
      <c r="O4" s="13">
        <v>0.42605327318498976</v>
      </c>
      <c r="P4" s="13">
        <v>-9.8544073389672526E-2</v>
      </c>
      <c r="Q4" s="13">
        <v>9.7549648130068611E-2</v>
      </c>
      <c r="R4" s="13">
        <v>0.8704685521648825</v>
      </c>
      <c r="S4" s="13">
        <v>3.8662980507200073</v>
      </c>
      <c r="T4" s="13">
        <v>-0.13052554562973384</v>
      </c>
      <c r="U4" s="13">
        <v>0.96314601207481143</v>
      </c>
      <c r="V4" s="13">
        <v>-0.69736250794416588</v>
      </c>
      <c r="W4" s="13">
        <v>0.80086624409514418</v>
      </c>
      <c r="X4" s="13">
        <v>0.91247341269451443</v>
      </c>
      <c r="Y4" s="13">
        <v>-0.32216812027766606</v>
      </c>
      <c r="Z4" s="13">
        <v>0.15121314736372682</v>
      </c>
      <c r="AA4" s="13">
        <v>0.83010185999516928</v>
      </c>
      <c r="AB4" s="13">
        <v>-0.84996431672363926</v>
      </c>
      <c r="AC4" s="13">
        <v>-0.50821842511700188</v>
      </c>
      <c r="AD4" s="13">
        <v>0.83599790977748611</v>
      </c>
      <c r="AE4" s="13">
        <v>1.0635319963907097</v>
      </c>
      <c r="AF4" s="13">
        <v>0.43021624086414523</v>
      </c>
      <c r="AG4" s="13">
        <v>0.34262016926276395</v>
      </c>
      <c r="AH4" s="13">
        <v>0.80626137558996724</v>
      </c>
      <c r="AI4" s="13">
        <v>0.4076108957804081</v>
      </c>
      <c r="AJ4" s="13">
        <v>2.6653321064775248</v>
      </c>
      <c r="AK4" s="13">
        <v>-0.62628258001167225</v>
      </c>
      <c r="AL4" s="13">
        <v>1.3715562428112671</v>
      </c>
      <c r="AM4" s="13">
        <v>2.2842337436481674</v>
      </c>
      <c r="AN4" s="13">
        <v>1.4363554310903082</v>
      </c>
      <c r="AO4" s="13">
        <v>0.63495386033862733</v>
      </c>
      <c r="AP4" s="13">
        <v>-0.38617982669015838</v>
      </c>
      <c r="AQ4" s="13">
        <v>1.7702848736569354</v>
      </c>
      <c r="AR4" s="13">
        <v>4.5585971781170187E-3</v>
      </c>
      <c r="AS4" s="13">
        <v>1.3899125478241681</v>
      </c>
      <c r="AT4" s="13">
        <v>-0.59135442150359818</v>
      </c>
      <c r="AU4" s="13">
        <v>0.39672241156580856</v>
      </c>
      <c r="AV4" s="13">
        <v>0.21050422200090679</v>
      </c>
      <c r="AW4" s="13">
        <v>-8.3122236946686634E-2</v>
      </c>
      <c r="AX4" s="13">
        <v>0.25271128590602654</v>
      </c>
      <c r="AY4" s="13">
        <v>5.8068265743838055E-2</v>
      </c>
      <c r="AZ4" s="13">
        <v>0.75253187484971562</v>
      </c>
      <c r="BA4" s="13">
        <v>0.14350073494402427</v>
      </c>
      <c r="BB4" s="13">
        <v>-1.2887655575725909</v>
      </c>
      <c r="BC4" s="13">
        <v>0.92011498632307287</v>
      </c>
      <c r="BD4" s="13">
        <v>0.12688088548817866</v>
      </c>
      <c r="BE4" s="13">
        <v>-0.55514808178115382</v>
      </c>
      <c r="BF4" s="13">
        <v>0.83014405794104018</v>
      </c>
      <c r="BG4" s="13">
        <v>0.21513853415835449</v>
      </c>
      <c r="BH4" s="13">
        <v>0.7933524266876546</v>
      </c>
      <c r="BI4" s="13">
        <v>-0.97009879196918725</v>
      </c>
      <c r="BJ4" s="13">
        <v>-0.11203144088430816</v>
      </c>
      <c r="BK4" s="13">
        <v>1.1373742441961765</v>
      </c>
      <c r="BL4" s="13">
        <v>1.0870364327564941</v>
      </c>
      <c r="BM4" s="13">
        <v>2.8831961384812033E-3</v>
      </c>
      <c r="BN4" s="13">
        <v>-0.20711089346721057</v>
      </c>
      <c r="BO4" s="13">
        <v>-0.22570763334575084</v>
      </c>
      <c r="BP4" s="13">
        <v>-0.37207797486771277</v>
      </c>
      <c r="BQ4" s="13">
        <v>1.8531434354041032E-2</v>
      </c>
      <c r="BR4" s="13">
        <v>0.41967850220954173</v>
      </c>
      <c r="BS4" s="13">
        <v>1.026869906303518</v>
      </c>
      <c r="BT4" s="13">
        <v>6.2763604921678429E-2</v>
      </c>
      <c r="BU4" s="13">
        <v>0</v>
      </c>
      <c r="BV4" s="13">
        <v>0</v>
      </c>
      <c r="BW4" s="13">
        <v>0.91336223118525517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7.7147844289261025</v>
      </c>
      <c r="CG4" s="13">
        <v>2.2948422668225277</v>
      </c>
      <c r="CH4" s="13">
        <v>2.6131321699235377</v>
      </c>
      <c r="CI4" s="13">
        <v>-1.1861613007793981</v>
      </c>
      <c r="CJ4" s="13">
        <v>1.0055095290381511</v>
      </c>
      <c r="CK4" s="13">
        <v>2.1271259538550025</v>
      </c>
      <c r="CL4" s="13">
        <v>0.93290775293339845</v>
      </c>
      <c r="CM4" s="13">
        <v>0</v>
      </c>
      <c r="CN4" s="13">
        <v>-0.60973063675434647</v>
      </c>
      <c r="CO4" s="13">
        <v>0</v>
      </c>
      <c r="CP4" s="13">
        <v>0</v>
      </c>
      <c r="CQ4" s="13">
        <v>3.9321174981113094</v>
      </c>
      <c r="CR4" s="13">
        <v>-1.1850901858897367</v>
      </c>
      <c r="CS4" s="13">
        <v>3.0806099935335673</v>
      </c>
      <c r="CT4" s="13">
        <v>3.7505798157790426</v>
      </c>
      <c r="CU4" s="13">
        <v>-1.5404174707680296</v>
      </c>
      <c r="CV4" s="13">
        <v>1.0536920003050954</v>
      </c>
      <c r="CW4" s="13">
        <v>0.24882389687987949</v>
      </c>
      <c r="CX4" s="13">
        <v>-0.96549819991347263</v>
      </c>
      <c r="CY4" s="13">
        <v>-0.28449308625257963</v>
      </c>
      <c r="CZ4" s="13">
        <v>-0.42884233232011182</v>
      </c>
      <c r="DA4" s="13">
        <v>0</v>
      </c>
      <c r="DB4" s="13">
        <v>-0.51079115759637972</v>
      </c>
      <c r="DC4" s="13">
        <v>4.1436499013843386</v>
      </c>
      <c r="DD4" s="13">
        <v>0.51341362901529131</v>
      </c>
      <c r="DE4" s="13">
        <v>0</v>
      </c>
      <c r="DF4" s="13">
        <v>-1.0037562980037884</v>
      </c>
    </row>
    <row r="5" spans="1:113" ht="15.5" x14ac:dyDescent="0.35">
      <c r="A5" s="88"/>
      <c r="B5" s="80">
        <v>102</v>
      </c>
      <c r="C5" s="80" t="s">
        <v>63</v>
      </c>
      <c r="D5" s="13" t="s">
        <v>64</v>
      </c>
      <c r="E5" s="33">
        <f>VLOOKUP(C5,[1]CLASSI_EAI!A:G,7,FALSE)</f>
        <v>34.872956815671998</v>
      </c>
      <c r="F5" s="13">
        <v>2.491378212580142</v>
      </c>
      <c r="G5" s="13">
        <v>6.2192968270863513</v>
      </c>
      <c r="H5" s="13">
        <v>-3.9139835320748162</v>
      </c>
      <c r="I5" s="13">
        <v>7.8573665668246528</v>
      </c>
      <c r="J5" s="13">
        <v>-5.9826404484419342</v>
      </c>
      <c r="K5" s="13">
        <v>-6.4640034571328275</v>
      </c>
      <c r="L5" s="13">
        <v>-2.7100830967728529</v>
      </c>
      <c r="M5" s="13">
        <v>7.4601454709725346</v>
      </c>
      <c r="N5" s="13">
        <v>0.59999716274108383</v>
      </c>
      <c r="O5" s="13">
        <v>2.7832439641350071</v>
      </c>
      <c r="P5" s="13">
        <v>2.2705289694531228</v>
      </c>
      <c r="Q5" s="13">
        <v>-3.189548676049081</v>
      </c>
      <c r="R5" s="13">
        <v>-7.1049043869808592E-2</v>
      </c>
      <c r="S5" s="13">
        <v>2.038749440681098</v>
      </c>
      <c r="T5" s="13">
        <v>-2.40997219692618E-2</v>
      </c>
      <c r="U5" s="13">
        <v>-2.7577192991795729</v>
      </c>
      <c r="V5" s="13">
        <v>0.32044239422788223</v>
      </c>
      <c r="W5" s="13">
        <v>-0.25524397936532717</v>
      </c>
      <c r="X5" s="13">
        <v>-1.954334402659097</v>
      </c>
      <c r="Y5" s="13">
        <v>-0.99422803001628646</v>
      </c>
      <c r="Z5" s="13">
        <v>-2.1795247863411471</v>
      </c>
      <c r="AA5" s="13">
        <v>3.7375724766445018</v>
      </c>
      <c r="AB5" s="13">
        <v>1.9654358932298832</v>
      </c>
      <c r="AC5" s="13">
        <v>0.9989574785911115</v>
      </c>
      <c r="AD5" s="13">
        <v>-4.8189318938855692</v>
      </c>
      <c r="AE5" s="13">
        <v>7.0590398264195331</v>
      </c>
      <c r="AF5" s="13">
        <v>0.70101156995423519</v>
      </c>
      <c r="AG5" s="13">
        <v>-6.0701112931148327</v>
      </c>
      <c r="AH5" s="13">
        <v>7.4915756859253557</v>
      </c>
      <c r="AI5" s="13">
        <v>0.91405897986969187</v>
      </c>
      <c r="AJ5" s="13">
        <v>0.28697345701242938</v>
      </c>
      <c r="AK5" s="13">
        <v>-0.34523743239014415</v>
      </c>
      <c r="AL5" s="13">
        <v>7.2466753369209158</v>
      </c>
      <c r="AM5" s="13">
        <v>-6.2372036793493564</v>
      </c>
      <c r="AN5" s="13">
        <v>-7.6410208288915644</v>
      </c>
      <c r="AO5" s="13">
        <v>5.865708909065992</v>
      </c>
      <c r="AP5" s="13">
        <v>2.6936393791415547</v>
      </c>
      <c r="AQ5" s="13">
        <v>3.6900088830301048</v>
      </c>
      <c r="AR5" s="13">
        <v>-3.4414367762037323</v>
      </c>
      <c r="AS5" s="13">
        <v>1.1316965231662257</v>
      </c>
      <c r="AT5" s="13">
        <v>-5.4524860570644424</v>
      </c>
      <c r="AU5" s="13">
        <v>1.1641922032706864</v>
      </c>
      <c r="AV5" s="13">
        <v>0.61852804539719308</v>
      </c>
      <c r="AW5" s="13">
        <v>4.5954531037444513</v>
      </c>
      <c r="AX5" s="13">
        <v>6.3343835627476697</v>
      </c>
      <c r="AY5" s="13">
        <v>-1.9531587555247532</v>
      </c>
      <c r="AZ5" s="13">
        <v>-0.59349942639506104</v>
      </c>
      <c r="BA5" s="13">
        <v>-2.1281327971112485</v>
      </c>
      <c r="BB5" s="13">
        <v>-6.223828830479694</v>
      </c>
      <c r="BC5" s="13">
        <v>7.7850145923541003</v>
      </c>
      <c r="BD5" s="13">
        <v>-3.7533454265499366</v>
      </c>
      <c r="BE5" s="13">
        <v>5.1652395839457688</v>
      </c>
      <c r="BF5" s="13">
        <v>-1.1940313160842431</v>
      </c>
      <c r="BG5" s="13">
        <v>-5.1203133876608025</v>
      </c>
      <c r="BH5" s="13">
        <v>-1.1887085871449043</v>
      </c>
      <c r="BI5" s="13">
        <v>-0.726894252867194</v>
      </c>
      <c r="BJ5" s="13">
        <v>-2.5467203187703125</v>
      </c>
      <c r="BK5" s="13">
        <v>3.5257527113850662</v>
      </c>
      <c r="BL5" s="13">
        <v>-7.5977288493754402</v>
      </c>
      <c r="BM5" s="13">
        <v>2.160765664497899</v>
      </c>
      <c r="BN5" s="13">
        <v>0.33713490032503124</v>
      </c>
      <c r="BO5" s="13">
        <v>1.9375007169797565</v>
      </c>
      <c r="BP5" s="13">
        <v>5.0320831410539446</v>
      </c>
      <c r="BQ5" s="13">
        <v>-7.0888564550027233</v>
      </c>
      <c r="BR5" s="13">
        <v>-3.5068427257103019</v>
      </c>
      <c r="BS5" s="13">
        <v>2.9099166152118716</v>
      </c>
      <c r="BT5" s="13">
        <v>5.0503550147102061</v>
      </c>
      <c r="BU5" s="13">
        <v>-6.7711550308639179</v>
      </c>
      <c r="BV5" s="13">
        <v>8.2237082589708308</v>
      </c>
      <c r="BW5" s="13">
        <v>-2.9363416260804853</v>
      </c>
      <c r="BX5" s="13">
        <v>1.0843957682612926</v>
      </c>
      <c r="BY5" s="13">
        <v>-1.8356556491969211</v>
      </c>
      <c r="BZ5" s="13">
        <v>2.9746044640824865</v>
      </c>
      <c r="CA5" s="13">
        <v>3.951321806250041</v>
      </c>
      <c r="CB5" s="13">
        <v>-1.6131788925042634</v>
      </c>
      <c r="CC5" s="13">
        <v>-1.7012807099488492</v>
      </c>
      <c r="CD5" s="13">
        <v>-0.88783929781861559</v>
      </c>
      <c r="CE5" s="13">
        <v>3.279938225924961</v>
      </c>
      <c r="CF5" s="13">
        <v>2.0649343017997479</v>
      </c>
      <c r="CG5" s="13">
        <v>7.9125868010585521</v>
      </c>
      <c r="CH5" s="13">
        <v>4.8617095209296801</v>
      </c>
      <c r="CI5" s="13">
        <v>-0.60311131583823396</v>
      </c>
      <c r="CJ5" s="13">
        <v>-3.813324605595636</v>
      </c>
      <c r="CK5" s="13">
        <v>-0.21019126857678705</v>
      </c>
      <c r="CL5" s="13">
        <v>-3.9891671108804871E-2</v>
      </c>
      <c r="CM5" s="13">
        <v>5.116216769866444</v>
      </c>
      <c r="CN5" s="13">
        <v>2.3820775727518617</v>
      </c>
      <c r="CO5" s="13">
        <v>-4.2986775347840345</v>
      </c>
      <c r="CP5" s="13">
        <v>0.76148842754633073</v>
      </c>
      <c r="CQ5" s="13">
        <v>-0.96400182586177108</v>
      </c>
      <c r="CR5" s="13">
        <v>9.0111230531467523</v>
      </c>
      <c r="CS5" s="13">
        <v>1.647298648209472</v>
      </c>
      <c r="CT5" s="13">
        <v>-0.40697624611715222</v>
      </c>
      <c r="CU5" s="13">
        <v>-0.60859558117565271</v>
      </c>
      <c r="CV5" s="13">
        <v>2.9235818218615206</v>
      </c>
      <c r="CW5" s="13">
        <v>-0.3609504673223296</v>
      </c>
      <c r="CX5" s="13">
        <v>-0.11479753660114111</v>
      </c>
      <c r="CY5" s="13">
        <v>2.4839490180270873</v>
      </c>
      <c r="CZ5" s="13">
        <v>-0.8614713541442498</v>
      </c>
      <c r="DA5" s="13">
        <v>-3.3458715813107776</v>
      </c>
      <c r="DB5" s="13">
        <v>-0.51182468976394002</v>
      </c>
      <c r="DC5" s="13">
        <v>-0.56430282697870204</v>
      </c>
      <c r="DD5" s="13">
        <v>3.0432138229144812</v>
      </c>
      <c r="DE5" s="13">
        <v>6.6734709032915784</v>
      </c>
      <c r="DF5" s="13">
        <v>-5.5700273115270482</v>
      </c>
    </row>
    <row r="6" spans="1:113" ht="15.5" x14ac:dyDescent="0.35">
      <c r="A6" s="88"/>
      <c r="C6" s="80">
        <v>1030</v>
      </c>
      <c r="D6" s="13" t="s">
        <v>65</v>
      </c>
      <c r="E6" s="33">
        <f>VLOOKUP(C6,[1]CLASSI_EAI!A:G,7,FALSE)</f>
        <v>17.242749016877699</v>
      </c>
      <c r="F6" s="13">
        <v>0.31720483963555424</v>
      </c>
      <c r="G6" s="13">
        <v>2.2524116790867188</v>
      </c>
      <c r="H6" s="13">
        <v>-0.55126140979125937</v>
      </c>
      <c r="I6" s="13">
        <v>0.87389759136753398</v>
      </c>
      <c r="J6" s="13">
        <v>-0.79672489545701275</v>
      </c>
      <c r="K6" s="13">
        <v>-0.35715439726411446</v>
      </c>
      <c r="L6" s="13">
        <v>-1.7696622262708961</v>
      </c>
      <c r="M6" s="13">
        <v>3.3533779085566762</v>
      </c>
      <c r="N6" s="13">
        <v>8.6257391458399724E-3</v>
      </c>
      <c r="O6" s="13">
        <v>-0.25664913021643532</v>
      </c>
      <c r="P6" s="13">
        <v>1.1162859072077591</v>
      </c>
      <c r="Q6" s="13">
        <v>3.1907878495834874</v>
      </c>
      <c r="R6" s="13">
        <v>-2.0630389536731242</v>
      </c>
      <c r="S6" s="13">
        <v>-1.3060901178582496</v>
      </c>
      <c r="T6" s="13">
        <v>1.7997682429261586</v>
      </c>
      <c r="U6" s="13">
        <v>-0.35028481816832269</v>
      </c>
      <c r="V6" s="13">
        <v>7.9358469734813752E-2</v>
      </c>
      <c r="W6" s="13">
        <v>-0.8423157214553556</v>
      </c>
      <c r="X6" s="13">
        <v>-0.13468140428327668</v>
      </c>
      <c r="Y6" s="13">
        <v>7.5134930756926011E-2</v>
      </c>
      <c r="Z6" s="13">
        <v>0.67243669674506013</v>
      </c>
      <c r="AA6" s="13">
        <v>3.0505155024688202</v>
      </c>
      <c r="AB6" s="13">
        <v>0.50703532632812021</v>
      </c>
      <c r="AC6" s="13">
        <v>-0.95221411665545874</v>
      </c>
      <c r="AD6" s="13">
        <v>-1.4419474853479275</v>
      </c>
      <c r="AE6" s="13">
        <v>0.30424057363660495</v>
      </c>
      <c r="AF6" s="13">
        <v>-0.6268381425626135</v>
      </c>
      <c r="AG6" s="13">
        <v>0.68692232852898272</v>
      </c>
      <c r="AH6" s="13">
        <v>-0.56269244411503161</v>
      </c>
      <c r="AI6" s="13">
        <v>0.40897356765035031</v>
      </c>
      <c r="AJ6" s="13">
        <v>-0.11793489698881388</v>
      </c>
      <c r="AK6" s="13">
        <v>-0.31613070003423394</v>
      </c>
      <c r="AL6" s="13">
        <v>2.1724675190891274</v>
      </c>
      <c r="AM6" s="13">
        <v>0.84415149799752509</v>
      </c>
      <c r="AN6" s="13">
        <v>5.651820110501582E-2</v>
      </c>
      <c r="AO6" s="13">
        <v>-1.2471103990435717</v>
      </c>
      <c r="AP6" s="13">
        <v>-1.1001762943504412</v>
      </c>
      <c r="AQ6" s="13">
        <v>-0.53231655980069403</v>
      </c>
      <c r="AR6" s="13">
        <v>1.6500134546494793</v>
      </c>
      <c r="AS6" s="13">
        <v>0.63163855758370246</v>
      </c>
      <c r="AT6" s="13">
        <v>-0.20702661919470566</v>
      </c>
      <c r="AU6" s="13">
        <v>-0.99214020331026553</v>
      </c>
      <c r="AV6" s="13">
        <v>0.5683437947956449</v>
      </c>
      <c r="AW6" s="13">
        <v>-0.54767158935193905</v>
      </c>
      <c r="AX6" s="13">
        <v>-0.1010433266958044</v>
      </c>
      <c r="AY6" s="13">
        <v>-0.90100839351419104</v>
      </c>
      <c r="AZ6" s="13">
        <v>-1.9363725569986445</v>
      </c>
      <c r="BA6" s="13">
        <v>-0.29174529610691557</v>
      </c>
      <c r="BB6" s="13">
        <v>0.28128676042979972</v>
      </c>
      <c r="BC6" s="13">
        <v>-0.3583206630318081</v>
      </c>
      <c r="BD6" s="13">
        <v>-0.15093665093379727</v>
      </c>
      <c r="BE6" s="13">
        <v>1.1625383970843783</v>
      </c>
      <c r="BF6" s="13">
        <v>-0.66198562354899959</v>
      </c>
      <c r="BG6" s="13">
        <v>8.1348264255143299E-2</v>
      </c>
      <c r="BH6" s="13">
        <v>-0.61351751767483309</v>
      </c>
      <c r="BI6" s="13">
        <v>-0.33843838700213791</v>
      </c>
      <c r="BJ6" s="13">
        <v>1.7831323023113965</v>
      </c>
      <c r="BK6" s="13">
        <v>-1.1244875861136316</v>
      </c>
      <c r="BL6" s="13">
        <v>2.1511032997019175</v>
      </c>
      <c r="BM6" s="13">
        <v>2.615248911022916</v>
      </c>
      <c r="BN6" s="13">
        <v>0.98219461744997183</v>
      </c>
      <c r="BO6" s="13">
        <v>0.89717570340495101</v>
      </c>
      <c r="BP6" s="13">
        <v>-0.15490248570819709</v>
      </c>
      <c r="BQ6" s="13">
        <v>-6.6638071644453678E-2</v>
      </c>
      <c r="BR6" s="13">
        <v>-1.3544290892110178</v>
      </c>
      <c r="BS6" s="13">
        <v>-1.5397502051259004</v>
      </c>
      <c r="BT6" s="13">
        <v>14.962652818056444</v>
      </c>
      <c r="BU6" s="13">
        <v>-0.17814759900206534</v>
      </c>
      <c r="BV6" s="13">
        <v>1.3276824353753325</v>
      </c>
      <c r="BW6" s="13">
        <v>2.9028545832221475E-2</v>
      </c>
      <c r="BX6" s="13">
        <v>-0.36197602005229035</v>
      </c>
      <c r="BY6" s="13">
        <v>-0.486589741252208</v>
      </c>
      <c r="BZ6" s="13">
        <v>-1.0475121345533966</v>
      </c>
      <c r="CA6" s="13">
        <v>0.63447329939383401</v>
      </c>
      <c r="CB6" s="13">
        <v>1.1033259978304732</v>
      </c>
      <c r="CC6" s="13">
        <v>0.39243367628549741</v>
      </c>
      <c r="CD6" s="13">
        <v>0.58544499265555938</v>
      </c>
      <c r="CE6" s="13">
        <v>-3.0244650597210931E-2</v>
      </c>
      <c r="CF6" s="13">
        <v>0.53701313606906442</v>
      </c>
      <c r="CG6" s="13">
        <v>1.4991523117793282</v>
      </c>
      <c r="CH6" s="13">
        <v>0.30914615992021499</v>
      </c>
      <c r="CI6" s="13">
        <v>-1.5659543422910205</v>
      </c>
      <c r="CJ6" s="13">
        <v>-0.68250659937573177</v>
      </c>
      <c r="CK6" s="13">
        <v>-0.97268250895796715</v>
      </c>
      <c r="CL6" s="13">
        <v>-0.38578928303041327</v>
      </c>
      <c r="CM6" s="13">
        <v>0.39993863718401634</v>
      </c>
      <c r="CN6" s="13">
        <v>-0.27610938437411248</v>
      </c>
      <c r="CO6" s="13">
        <v>-0.97515984240543752</v>
      </c>
      <c r="CP6" s="13">
        <v>0.2435270541965906</v>
      </c>
      <c r="CQ6" s="13">
        <v>-0.33007258332526934</v>
      </c>
      <c r="CR6" s="13">
        <v>0.56547222270206809</v>
      </c>
      <c r="CS6" s="13">
        <v>-0.2541258665138546</v>
      </c>
      <c r="CT6" s="13">
        <v>-0.22318968986319021</v>
      </c>
      <c r="CU6" s="13">
        <v>3.9700390581653977E-2</v>
      </c>
      <c r="CV6" s="13">
        <v>-0.36836055829176928</v>
      </c>
      <c r="CW6" s="13">
        <v>-1.0859886554013154</v>
      </c>
      <c r="CX6" s="13">
        <v>-0.44559971968981538</v>
      </c>
      <c r="CY6" s="13">
        <v>-0.52624575812240115</v>
      </c>
      <c r="CZ6" s="13">
        <v>-1.3141625909855348</v>
      </c>
      <c r="DA6" s="13">
        <v>-1.0450599806448801</v>
      </c>
      <c r="DB6" s="13">
        <v>3.0349730259942254</v>
      </c>
      <c r="DC6" s="13">
        <v>2.0715802916182469E-3</v>
      </c>
      <c r="DD6" s="13">
        <v>-0.30508906818587089</v>
      </c>
      <c r="DE6" s="13">
        <v>0.14233838918487063</v>
      </c>
      <c r="DF6" s="13">
        <v>3.7763014334091016</v>
      </c>
    </row>
    <row r="7" spans="1:113" ht="15.5" x14ac:dyDescent="0.35">
      <c r="A7" s="88"/>
      <c r="B7" s="80">
        <v>104</v>
      </c>
      <c r="C7" s="80">
        <v>1040</v>
      </c>
      <c r="D7" s="13" t="s">
        <v>66</v>
      </c>
      <c r="E7" s="33">
        <f>[1]CLASSI_EAI!G67</f>
        <v>49.132836897778702</v>
      </c>
      <c r="F7" s="13">
        <v>-0.6406802694045477</v>
      </c>
      <c r="G7" s="13">
        <v>1.1947581480212355</v>
      </c>
      <c r="H7" s="13">
        <v>0.53051609145517986</v>
      </c>
      <c r="I7" s="13">
        <v>-1.0117777489994761</v>
      </c>
      <c r="J7" s="13">
        <v>7.2543238917832653E-2</v>
      </c>
      <c r="K7" s="13">
        <v>-0.78114802398216998</v>
      </c>
      <c r="L7" s="13">
        <v>-4.0823356924283178</v>
      </c>
      <c r="M7" s="13">
        <v>-0.72551914310718946</v>
      </c>
      <c r="N7" s="13">
        <v>0.90689133393544452</v>
      </c>
      <c r="O7" s="13">
        <v>0.75186678249425931</v>
      </c>
      <c r="P7" s="13">
        <v>0</v>
      </c>
      <c r="Q7" s="13">
        <v>0.44244598408214042</v>
      </c>
      <c r="R7" s="13">
        <v>1.0351730589408747</v>
      </c>
      <c r="S7" s="13">
        <v>-0.21202753918793116</v>
      </c>
      <c r="T7" s="13">
        <v>0</v>
      </c>
      <c r="U7" s="13">
        <v>-1.791548277677768</v>
      </c>
      <c r="V7" s="13">
        <v>6.2774447905744601E-2</v>
      </c>
      <c r="W7" s="13">
        <v>-1.6891428282593046</v>
      </c>
      <c r="X7" s="13">
        <v>-2.2819159626483732</v>
      </c>
      <c r="Y7" s="13">
        <v>-1.9470421083542133</v>
      </c>
      <c r="Z7" s="13">
        <v>0.4480533901892958</v>
      </c>
      <c r="AA7" s="13">
        <v>-1.308196768760328</v>
      </c>
      <c r="AB7" s="13">
        <v>0</v>
      </c>
      <c r="AC7" s="13">
        <v>0</v>
      </c>
      <c r="AD7" s="13">
        <v>-0.63113706815808301</v>
      </c>
      <c r="AE7" s="13">
        <v>0.81845441506220862</v>
      </c>
      <c r="AF7" s="13">
        <v>0.32675099065557767</v>
      </c>
      <c r="AG7" s="13">
        <v>0.96126232028650449</v>
      </c>
      <c r="AH7" s="13">
        <v>0</v>
      </c>
      <c r="AI7" s="13">
        <v>4.3042492598177162</v>
      </c>
      <c r="AJ7" s="13">
        <v>5.9609511127337367</v>
      </c>
      <c r="AK7" s="13">
        <v>0.67299902629534003</v>
      </c>
      <c r="AL7" s="13">
        <v>0</v>
      </c>
      <c r="AM7" s="13">
        <v>0</v>
      </c>
      <c r="AN7" s="13">
        <v>0</v>
      </c>
      <c r="AO7" s="13">
        <v>2.7352911999788843</v>
      </c>
      <c r="AP7" s="13">
        <v>1.8729497003533435</v>
      </c>
      <c r="AQ7" s="13">
        <v>0.1675219499562397</v>
      </c>
      <c r="AR7" s="13">
        <v>0</v>
      </c>
      <c r="AS7" s="13">
        <v>0.6667848293299361</v>
      </c>
      <c r="AT7" s="13">
        <v>2.6379713185153086</v>
      </c>
      <c r="AU7" s="13">
        <v>4.0617456123487994</v>
      </c>
      <c r="AV7" s="13">
        <v>5.5532138904201833</v>
      </c>
      <c r="AW7" s="13">
        <v>1.1262074085938156</v>
      </c>
      <c r="AX7" s="13">
        <v>8.1780933584505675</v>
      </c>
      <c r="AY7" s="13">
        <v>0.90883167090278771</v>
      </c>
      <c r="AZ7" s="13">
        <v>0.89014738723249831</v>
      </c>
      <c r="BA7" s="13">
        <v>-0.27401996599107914</v>
      </c>
      <c r="BB7" s="13">
        <v>9.3515062420704389</v>
      </c>
      <c r="BC7" s="13">
        <v>1.46466105273384</v>
      </c>
      <c r="BD7" s="13">
        <v>0.641173725513422</v>
      </c>
      <c r="BE7" s="13">
        <v>2.1946518367597312</v>
      </c>
      <c r="BF7" s="13">
        <v>3.9495755788080178</v>
      </c>
      <c r="BG7" s="13">
        <v>1.7772679083205789</v>
      </c>
      <c r="BH7" s="13">
        <v>-0.76741351293392324</v>
      </c>
      <c r="BI7" s="13">
        <v>0.61979778619243309</v>
      </c>
      <c r="BJ7" s="13">
        <v>5.3668512174578797</v>
      </c>
      <c r="BK7" s="13">
        <v>5.9858599303200144</v>
      </c>
      <c r="BL7" s="13">
        <v>-1.0182359402103991</v>
      </c>
      <c r="BM7" s="13">
        <v>1.4718530475659852</v>
      </c>
      <c r="BN7" s="13">
        <v>-1.445919540897822</v>
      </c>
      <c r="BO7" s="13">
        <v>0</v>
      </c>
      <c r="BP7" s="13">
        <v>-1.578089967394869</v>
      </c>
      <c r="BQ7" s="13">
        <v>-6.3295847931119091</v>
      </c>
      <c r="BR7" s="13">
        <v>-2.3798105237122003</v>
      </c>
      <c r="BS7" s="13">
        <v>-9.2208252266690049E-2</v>
      </c>
      <c r="BT7" s="13">
        <v>-6.1146609075303671</v>
      </c>
      <c r="BU7" s="13">
        <v>0.8589418419571393</v>
      </c>
      <c r="BV7" s="13">
        <v>0</v>
      </c>
      <c r="BW7" s="13">
        <v>-1.2276177114058706</v>
      </c>
      <c r="BX7" s="13">
        <v>-0.43947213712692834</v>
      </c>
      <c r="BY7" s="13">
        <v>-1.0614646071672729</v>
      </c>
      <c r="BZ7" s="13">
        <v>-0.97871601790283647</v>
      </c>
      <c r="CA7" s="13">
        <v>-2.7197160189902703</v>
      </c>
      <c r="CB7" s="13">
        <v>4.8768781465269306E-2</v>
      </c>
      <c r="CC7" s="13">
        <v>-1.6152885481676815</v>
      </c>
      <c r="CD7" s="13">
        <v>0</v>
      </c>
      <c r="CE7" s="13">
        <v>-1.844288032393504</v>
      </c>
      <c r="CF7" s="13">
        <v>-2.0194401169394083</v>
      </c>
      <c r="CG7" s="13">
        <v>0.19280492065543164</v>
      </c>
      <c r="CH7" s="13">
        <v>0.52250987136777116</v>
      </c>
      <c r="CI7" s="13">
        <v>4.9238147428215973</v>
      </c>
      <c r="CJ7" s="13">
        <v>-0.33073026912197045</v>
      </c>
      <c r="CK7" s="13">
        <v>-0.11198264488807563</v>
      </c>
      <c r="CL7" s="13">
        <v>1.1227102645482656</v>
      </c>
      <c r="CM7" s="13">
        <v>0</v>
      </c>
      <c r="CN7" s="13">
        <v>0.92821163631509052</v>
      </c>
      <c r="CO7" s="13">
        <v>1.2341189680900699</v>
      </c>
      <c r="CP7" s="13">
        <v>1.0605666866160046</v>
      </c>
      <c r="CQ7" s="13">
        <v>-0.75773501063773896</v>
      </c>
      <c r="CR7" s="13">
        <v>5.9965976434126045</v>
      </c>
      <c r="CS7" s="13">
        <v>-1.8342480091577906</v>
      </c>
      <c r="CT7" s="13">
        <v>-0.1740310563576819</v>
      </c>
      <c r="CU7" s="13">
        <v>0.93615913383207072</v>
      </c>
      <c r="CV7" s="13">
        <v>0</v>
      </c>
      <c r="CW7" s="13">
        <v>-1.7330730328390942E-3</v>
      </c>
      <c r="CX7" s="13">
        <v>0.50503143500084668</v>
      </c>
      <c r="CY7" s="13">
        <v>-0.10735574219316035</v>
      </c>
      <c r="CZ7" s="13">
        <v>-0.85908030377239708</v>
      </c>
      <c r="DA7" s="13">
        <v>-0.81179765931043146</v>
      </c>
      <c r="DB7" s="13">
        <v>0</v>
      </c>
      <c r="DC7" s="13">
        <v>-1.2114541353659969</v>
      </c>
      <c r="DD7" s="13">
        <v>1.0805898507104672E-4</v>
      </c>
      <c r="DE7" s="13">
        <v>-1.0805886830889122E-4</v>
      </c>
      <c r="DF7" s="13">
        <v>0.85357357695079461</v>
      </c>
    </row>
    <row r="8" spans="1:113" ht="15.5" x14ac:dyDescent="0.35">
      <c r="A8" s="88"/>
      <c r="B8" s="80">
        <v>105</v>
      </c>
      <c r="C8" s="80">
        <v>1050</v>
      </c>
      <c r="D8" s="13" t="s">
        <v>68</v>
      </c>
      <c r="E8" s="33">
        <f>[1]CLASSI_EAI!G84</f>
        <v>9.8202956193448294</v>
      </c>
      <c r="F8" s="13">
        <v>8.6789832080003571</v>
      </c>
      <c r="G8" s="13">
        <v>0.71030078347704695</v>
      </c>
      <c r="H8" s="13">
        <v>2.9036032458007899</v>
      </c>
      <c r="I8" s="13">
        <v>-1.1802658471460226</v>
      </c>
      <c r="J8" s="13">
        <v>-1.7768259985817991</v>
      </c>
      <c r="K8" s="13">
        <v>-1.2195784284999123</v>
      </c>
      <c r="L8" s="13">
        <v>0.87453307713964978</v>
      </c>
      <c r="M8" s="13">
        <v>3.6541930669804712</v>
      </c>
      <c r="N8" s="13">
        <v>6.5135170320795632</v>
      </c>
      <c r="O8" s="13">
        <v>-1.4714507003743549</v>
      </c>
      <c r="P8" s="13">
        <v>-1.7275989404719527</v>
      </c>
      <c r="Q8" s="13">
        <v>1.3390380709355609</v>
      </c>
      <c r="R8" s="13">
        <v>0.6897353603837697</v>
      </c>
      <c r="S8" s="13">
        <v>2.3465013757289821</v>
      </c>
      <c r="T8" s="13">
        <v>1.1423630473699209</v>
      </c>
      <c r="U8" s="13">
        <v>-0.723055995671118</v>
      </c>
      <c r="V8" s="13">
        <v>-3.7159215767086473</v>
      </c>
      <c r="W8" s="13">
        <v>0.2164011673573718</v>
      </c>
      <c r="X8" s="13">
        <v>0.90871663326392849</v>
      </c>
      <c r="Y8" s="13">
        <v>1.5139846498315457</v>
      </c>
      <c r="Z8" s="13">
        <v>-0.18418695319611933</v>
      </c>
      <c r="AA8" s="13">
        <v>0.20565269558368016</v>
      </c>
      <c r="AB8" s="13">
        <v>-0.58342330214291582</v>
      </c>
      <c r="AC8" s="13">
        <v>0.27596980846686936</v>
      </c>
      <c r="AD8" s="13">
        <v>-0.1049875831460434</v>
      </c>
      <c r="AE8" s="13">
        <v>-0.78391156744994639</v>
      </c>
      <c r="AF8" s="13">
        <v>0.90996811280050771</v>
      </c>
      <c r="AG8" s="13">
        <v>1.0812615602952658</v>
      </c>
      <c r="AH8" s="13">
        <v>-0.40648158014470193</v>
      </c>
      <c r="AI8" s="13">
        <v>0</v>
      </c>
      <c r="AJ8" s="13">
        <v>-1.7809048495198598</v>
      </c>
      <c r="AK8" s="13">
        <v>0.19451782922101923</v>
      </c>
      <c r="AL8" s="13">
        <v>2.0302700672245377</v>
      </c>
      <c r="AM8" s="13">
        <v>-1.6132522290862705</v>
      </c>
      <c r="AN8" s="13">
        <v>-3.2838539891164031</v>
      </c>
      <c r="AO8" s="13">
        <v>0.52060638061599551</v>
      </c>
      <c r="AP8" s="13">
        <v>3.5104521912946218</v>
      </c>
      <c r="AQ8" s="13">
        <v>1.3810762314636627E-2</v>
      </c>
      <c r="AR8" s="13">
        <v>-0.1982208126109386</v>
      </c>
      <c r="AS8" s="13">
        <v>-0.43498543587013883</v>
      </c>
      <c r="AT8" s="13">
        <v>-0.40648158014470193</v>
      </c>
      <c r="AU8" s="13">
        <v>1.2014706311979539</v>
      </c>
      <c r="AV8" s="13">
        <v>-1.5752711668020392</v>
      </c>
      <c r="AW8" s="13">
        <v>-1.0391022458420385</v>
      </c>
      <c r="AX8" s="13">
        <v>0.54917174442998817</v>
      </c>
      <c r="AY8" s="13">
        <v>-2.76466378023702</v>
      </c>
      <c r="AZ8" s="13">
        <v>0.79010529424659026</v>
      </c>
      <c r="BA8" s="13">
        <v>-0.81739807717058355</v>
      </c>
      <c r="BB8" s="13">
        <v>7.8344683790176894E-2</v>
      </c>
      <c r="BC8" s="13">
        <v>0.96819517651711706</v>
      </c>
      <c r="BD8" s="13">
        <v>3.6068136595622358</v>
      </c>
      <c r="BE8" s="13">
        <v>3.8687357121305554</v>
      </c>
      <c r="BF8" s="13">
        <v>-0.76484838395344257</v>
      </c>
      <c r="BG8" s="13">
        <v>-1.9640989683859966</v>
      </c>
      <c r="BH8" s="13">
        <v>-1.9442193638274596</v>
      </c>
      <c r="BI8" s="13">
        <v>-0.176501514377847</v>
      </c>
      <c r="BJ8" s="13">
        <v>0.17198743625352897</v>
      </c>
      <c r="BK8" s="13">
        <v>1.3843348134316313</v>
      </c>
      <c r="BL8" s="13">
        <v>7.5917834378258497E-2</v>
      </c>
      <c r="BM8" s="13">
        <v>-4.9463931691973162E-2</v>
      </c>
      <c r="BN8" s="13">
        <v>0.67615502484299483</v>
      </c>
      <c r="BO8" s="13">
        <v>0.30609127550915716</v>
      </c>
      <c r="BP8" s="13">
        <v>1.4801511875742301</v>
      </c>
      <c r="BQ8" s="13">
        <v>0.47297798316854323</v>
      </c>
      <c r="BR8" s="13">
        <v>-0.59218273732808413</v>
      </c>
      <c r="BS8" s="13">
        <v>0.63148494437323954</v>
      </c>
      <c r="BT8" s="13">
        <v>-0.90724010500270458</v>
      </c>
      <c r="BU8" s="13">
        <v>0.84631136916164529</v>
      </c>
      <c r="BV8" s="13">
        <v>1.528225997212429</v>
      </c>
      <c r="BW8" s="13">
        <v>-0.33349044580700538</v>
      </c>
      <c r="BX8" s="13">
        <v>-0.12747608020657886</v>
      </c>
      <c r="BY8" s="13">
        <v>-0.92882329769893301</v>
      </c>
      <c r="BZ8" s="13">
        <v>0.6341152995062993</v>
      </c>
      <c r="CA8" s="13">
        <v>0.33140687237414035</v>
      </c>
      <c r="CB8" s="13">
        <v>0.46088764580751729</v>
      </c>
      <c r="CC8" s="13">
        <v>-0.2320807631742916</v>
      </c>
      <c r="CD8" s="13">
        <v>-0.45692594373345496</v>
      </c>
      <c r="CE8" s="13">
        <v>0</v>
      </c>
      <c r="CF8" s="13">
        <v>0.49120648830105473</v>
      </c>
      <c r="CG8" s="13">
        <v>0.65357420516738429</v>
      </c>
      <c r="CH8" s="13">
        <v>0.89833502593799075</v>
      </c>
      <c r="CI8" s="13">
        <v>1.2945257673107058</v>
      </c>
      <c r="CJ8" s="13">
        <v>-0.5326184383472099</v>
      </c>
      <c r="CK8" s="13">
        <v>2.0118435085897168</v>
      </c>
      <c r="CL8" s="13">
        <v>0.2842037071549175</v>
      </c>
      <c r="CM8" s="13">
        <v>9.8606866262573867E-2</v>
      </c>
      <c r="CN8" s="13">
        <v>-0.57310277454173386</v>
      </c>
      <c r="CO8" s="13">
        <v>-7.1180730751629895E-2</v>
      </c>
      <c r="CP8" s="13">
        <v>5.6735991037504263E-3</v>
      </c>
      <c r="CQ8" s="13">
        <v>2.5583278702032919</v>
      </c>
      <c r="CR8" s="13">
        <v>-0.91965412988637141</v>
      </c>
      <c r="CS8" s="13">
        <v>1.2038584324710611</v>
      </c>
      <c r="CT8" s="13">
        <v>-7.0698665622970225E-2</v>
      </c>
      <c r="CU8" s="13">
        <v>0.4055655046764528</v>
      </c>
      <c r="CV8" s="13">
        <v>0.20434569410434644</v>
      </c>
      <c r="CW8" s="13">
        <v>-0.30428358341716422</v>
      </c>
      <c r="CX8" s="13">
        <v>-0.18295973661550669</v>
      </c>
      <c r="CY8" s="13">
        <v>-6.6622164422203145E-2</v>
      </c>
      <c r="CZ8" s="13">
        <v>-0.18681227705258374</v>
      </c>
      <c r="DA8" s="13">
        <v>-0.31923353413771949</v>
      </c>
      <c r="DB8" s="13">
        <v>0.10995919179119795</v>
      </c>
      <c r="DC8" s="13">
        <v>-7.6644065082787094E-2</v>
      </c>
      <c r="DD8" s="13">
        <v>-0.19281026046563676</v>
      </c>
      <c r="DE8" s="13">
        <v>0</v>
      </c>
      <c r="DF8" s="13">
        <v>-0.35680286380423976</v>
      </c>
    </row>
    <row r="9" spans="1:113" ht="15.5" x14ac:dyDescent="0.35">
      <c r="A9" s="88"/>
      <c r="B9" s="80">
        <v>106</v>
      </c>
      <c r="C9" s="80">
        <v>1061</v>
      </c>
      <c r="D9" s="13" t="s">
        <v>67</v>
      </c>
      <c r="E9" s="33">
        <f>[1]CLASSI_EAI!G115</f>
        <v>67.623833253878402</v>
      </c>
      <c r="F9" s="13">
        <v>5.355094913596492</v>
      </c>
      <c r="G9" s="13">
        <v>1.3678365502383549</v>
      </c>
      <c r="H9" s="13">
        <v>0.37935019391459601</v>
      </c>
      <c r="I9" s="13">
        <v>0.47112419179538012</v>
      </c>
      <c r="J9" s="13">
        <v>-0.52441195963061071</v>
      </c>
      <c r="K9" s="13">
        <v>-7.6699002435810071</v>
      </c>
      <c r="L9" s="13">
        <v>-0.97100397544797046</v>
      </c>
      <c r="M9" s="13">
        <v>-0.87869826002896501</v>
      </c>
      <c r="N9" s="13">
        <v>-0.18316960715535346</v>
      </c>
      <c r="O9" s="13">
        <v>-0.38309978965581637</v>
      </c>
      <c r="P9" s="13">
        <v>0.79855494743350519</v>
      </c>
      <c r="Q9" s="13">
        <v>1.668594781900179</v>
      </c>
      <c r="R9" s="13">
        <v>-1.0660858030843157</v>
      </c>
      <c r="S9" s="13">
        <v>0.1256457828619606</v>
      </c>
      <c r="T9" s="13">
        <v>0.44397797443622711</v>
      </c>
      <c r="U9" s="13">
        <v>-0.43126055711396605</v>
      </c>
      <c r="V9" s="13">
        <v>0.14748974083758082</v>
      </c>
      <c r="W9" s="13">
        <v>-4.2927434917294782E-3</v>
      </c>
      <c r="X9" s="13">
        <v>-0.10880973198855726</v>
      </c>
      <c r="Y9" s="13">
        <v>-1.3323796556081624</v>
      </c>
      <c r="Z9" s="13">
        <v>4.0524196018409953E-3</v>
      </c>
      <c r="AA9" s="13">
        <v>-3.5712102181117977E-3</v>
      </c>
      <c r="AB9" s="13">
        <v>1.4353878962580779</v>
      </c>
      <c r="AC9" s="13">
        <v>2.1478314710113411</v>
      </c>
      <c r="AD9" s="13">
        <v>-0.11257503452200002</v>
      </c>
      <c r="AE9" s="13">
        <v>4.9143721091948755E-2</v>
      </c>
      <c r="AF9" s="13">
        <v>5.8709742429896572E-2</v>
      </c>
      <c r="AG9" s="13">
        <v>0.1219047963158193</v>
      </c>
      <c r="AH9" s="13">
        <v>0.25381936090982382</v>
      </c>
      <c r="AI9" s="13">
        <v>3.3278992478069647E-2</v>
      </c>
      <c r="AJ9" s="13">
        <v>-8.826928630989439E-3</v>
      </c>
      <c r="AK9" s="13">
        <v>-5.8551673616935584E-2</v>
      </c>
      <c r="AL9" s="13">
        <v>0.48287460188465303</v>
      </c>
      <c r="AM9" s="13">
        <v>0.24327010227203072</v>
      </c>
      <c r="AN9" s="13">
        <v>0.53288650871601284</v>
      </c>
      <c r="AO9" s="13">
        <v>-9.6705748827385918E-2</v>
      </c>
      <c r="AP9" s="13">
        <v>-0.13486837391429862</v>
      </c>
      <c r="AQ9" s="13">
        <v>-0.93963904966549716</v>
      </c>
      <c r="AR9" s="13">
        <v>-1.4758934115616351</v>
      </c>
      <c r="AS9" s="13">
        <v>-0.45827525826337423</v>
      </c>
      <c r="AT9" s="13">
        <v>0.20379575615239176</v>
      </c>
      <c r="AU9" s="13">
        <v>0.50743685879093281</v>
      </c>
      <c r="AV9" s="13">
        <v>0.52524528606594512</v>
      </c>
      <c r="AW9" s="13">
        <v>-0.30698815514811351</v>
      </c>
      <c r="AX9" s="13">
        <v>-9.4233388057141099E-4</v>
      </c>
      <c r="AY9" s="13">
        <v>2.6519555469899148</v>
      </c>
      <c r="AZ9" s="13">
        <v>0</v>
      </c>
      <c r="BA9" s="13">
        <v>0</v>
      </c>
      <c r="BB9" s="13">
        <v>-0.22047652274774787</v>
      </c>
      <c r="BC9" s="13">
        <v>0</v>
      </c>
      <c r="BD9" s="13">
        <v>-0.38431728246222097</v>
      </c>
      <c r="BE9" s="13">
        <v>0.51029242415552289</v>
      </c>
      <c r="BF9" s="13">
        <v>2.809101301092376</v>
      </c>
      <c r="BG9" s="13">
        <v>8.7233944379683237E-2</v>
      </c>
      <c r="BH9" s="13">
        <v>2.3003663867296575</v>
      </c>
      <c r="BI9" s="13">
        <v>-0.15861503120505605</v>
      </c>
      <c r="BJ9" s="13">
        <v>1.1421104915376512</v>
      </c>
      <c r="BK9" s="13">
        <v>3.7228618849506789</v>
      </c>
      <c r="BL9" s="13">
        <v>1.9009113970197333</v>
      </c>
      <c r="BM9" s="13">
        <v>5.2890304922797782</v>
      </c>
      <c r="BN9" s="13">
        <v>2.1689374821901142</v>
      </c>
      <c r="BO9" s="13">
        <v>0.47973567956236529</v>
      </c>
      <c r="BP9" s="13">
        <v>0.53013936063519562</v>
      </c>
      <c r="BQ9" s="13">
        <v>2.0882806529003872</v>
      </c>
      <c r="BR9" s="13">
        <v>0</v>
      </c>
      <c r="BS9" s="13">
        <v>-1.5388369058874307</v>
      </c>
      <c r="BT9" s="13">
        <v>-0.6991424319567896</v>
      </c>
      <c r="BU9" s="13">
        <v>-5.0405841254841377E-2</v>
      </c>
      <c r="BV9" s="13">
        <v>-1.9655716335405415</v>
      </c>
      <c r="BW9" s="13">
        <v>3.3508161344665721</v>
      </c>
      <c r="BX9" s="13">
        <v>-2.8724075194041854</v>
      </c>
      <c r="BY9" s="13">
        <v>-2.2838649001511002</v>
      </c>
      <c r="BZ9" s="13">
        <v>-1.6100804807181679</v>
      </c>
      <c r="CA9" s="13">
        <v>-1.2192545882471428</v>
      </c>
      <c r="CB9" s="13">
        <v>1.583376066131259</v>
      </c>
      <c r="CC9" s="13">
        <v>-2.2856568539574185</v>
      </c>
      <c r="CD9" s="13">
        <v>-0.45171872778453359</v>
      </c>
      <c r="CE9" s="13">
        <v>-1.6636404343607802</v>
      </c>
      <c r="CF9" s="13">
        <v>-2.5035849494073004</v>
      </c>
      <c r="CG9" s="13">
        <v>-0.30455019677299022</v>
      </c>
      <c r="CH9" s="13">
        <v>0.20274192053866269</v>
      </c>
      <c r="CI9" s="13">
        <v>-0.12625819899981794</v>
      </c>
      <c r="CJ9" s="13">
        <v>0.54862349749289496</v>
      </c>
      <c r="CK9" s="13">
        <v>-0.62883093233584431</v>
      </c>
      <c r="CL9" s="13">
        <v>-0.8629113470639993</v>
      </c>
      <c r="CM9" s="13">
        <v>-0.21975418068626018</v>
      </c>
      <c r="CN9" s="13">
        <v>-2.2665066127079414</v>
      </c>
      <c r="CO9" s="13">
        <v>-0.57301973951343621</v>
      </c>
      <c r="CP9" s="13">
        <v>0.34182539758185193</v>
      </c>
      <c r="CQ9" s="13">
        <v>-1.478372286989571</v>
      </c>
      <c r="CR9" s="13">
        <v>-1.3060050335944595E-2</v>
      </c>
      <c r="CS9" s="13">
        <v>-0.11617443532003779</v>
      </c>
      <c r="CT9" s="13">
        <v>-0.3724711145586812</v>
      </c>
      <c r="CU9" s="13">
        <v>2.6430597645044074E-2</v>
      </c>
      <c r="CV9" s="13">
        <v>1.4753215487285587</v>
      </c>
      <c r="CW9" s="13">
        <v>1.6206179390441555</v>
      </c>
      <c r="CX9" s="13">
        <v>-0.61251143695664201</v>
      </c>
      <c r="CY9" s="13">
        <v>1.7766233061905945</v>
      </c>
      <c r="CZ9" s="13">
        <v>-0.98902281414667836</v>
      </c>
      <c r="DA9" s="13">
        <v>2.1050274552737891</v>
      </c>
      <c r="DB9" s="13">
        <v>-0.2633595404967326</v>
      </c>
      <c r="DC9" s="13">
        <v>-0.57507548897579586</v>
      </c>
      <c r="DD9" s="13">
        <v>-3.8439514816768217E-2</v>
      </c>
      <c r="DE9" s="13">
        <v>0.67729621915599836</v>
      </c>
      <c r="DF9" s="13">
        <v>1.7874387916628098</v>
      </c>
    </row>
    <row r="10" spans="1:113" ht="15.5" x14ac:dyDescent="0.35">
      <c r="A10" s="88"/>
      <c r="B10" s="80">
        <v>107</v>
      </c>
      <c r="C10" s="80">
        <v>1071</v>
      </c>
      <c r="D10" s="13" t="s">
        <v>70</v>
      </c>
      <c r="E10" s="33">
        <f>[1]CLASSI_EAI!G137</f>
        <v>14.431745733660501</v>
      </c>
      <c r="F10" s="13">
        <v>0.39334020520465085</v>
      </c>
      <c r="G10" s="13">
        <v>0.85920854569518923</v>
      </c>
      <c r="H10" s="13">
        <v>3.7712161951919621</v>
      </c>
      <c r="I10" s="13">
        <v>0</v>
      </c>
      <c r="J10" s="13">
        <v>0.45643312400944769</v>
      </c>
      <c r="K10" s="13">
        <v>0.93834602689253366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0.69686044963650495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0.41621797738151667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0.50421182504882811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1.4479660595436039</v>
      </c>
      <c r="BC10" s="13">
        <v>0</v>
      </c>
      <c r="BD10" s="13">
        <v>0</v>
      </c>
      <c r="BE10" s="13">
        <v>1.9979466864824991</v>
      </c>
      <c r="BF10" s="13">
        <v>5.4814110303036401E-2</v>
      </c>
      <c r="BG10" s="13">
        <v>0</v>
      </c>
      <c r="BH10" s="13">
        <v>1.8719152400624717</v>
      </c>
      <c r="BI10" s="13">
        <v>0</v>
      </c>
      <c r="BJ10" s="13">
        <v>0</v>
      </c>
      <c r="BK10" s="13">
        <v>0.32051264945134328</v>
      </c>
      <c r="BL10" s="13">
        <v>0.31708811608588405</v>
      </c>
      <c r="BM10" s="13">
        <v>0.85940679132232578</v>
      </c>
      <c r="BN10" s="13">
        <v>1.3901589765123346</v>
      </c>
      <c r="BO10" s="13">
        <v>0.54639274304888463</v>
      </c>
      <c r="BP10" s="13">
        <v>0.15058960663725252</v>
      </c>
      <c r="BQ10" s="13">
        <v>9.9024844741313345E-2</v>
      </c>
      <c r="BR10" s="13">
        <v>5.7441171568850535E-2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-0.34831337885664615</v>
      </c>
      <c r="BZ10" s="13">
        <v>9.7246464088063256E-2</v>
      </c>
      <c r="CA10" s="13">
        <v>0.12250225997121333</v>
      </c>
      <c r="CB10" s="13">
        <v>9.5254598077221253E-2</v>
      </c>
      <c r="CC10" s="13">
        <v>0.68201932701457135</v>
      </c>
      <c r="CD10" s="13">
        <v>0</v>
      </c>
      <c r="CE10" s="13">
        <v>-0.117687939800315</v>
      </c>
      <c r="CF10" s="13">
        <v>-0.46120884190623546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0.36405188784998099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-0.12235237554605316</v>
      </c>
      <c r="CU10" s="13">
        <v>-0.60829182050976538</v>
      </c>
      <c r="CV10" s="13">
        <v>0</v>
      </c>
      <c r="CW10" s="13">
        <v>0</v>
      </c>
      <c r="CX10" s="13">
        <v>0.19795093756556081</v>
      </c>
      <c r="CY10" s="13">
        <v>0</v>
      </c>
      <c r="CZ10" s="13">
        <v>0</v>
      </c>
      <c r="DA10" s="13">
        <v>0.64119281505381487</v>
      </c>
      <c r="DB10" s="13">
        <v>0</v>
      </c>
      <c r="DC10" s="13">
        <v>-0.24395572596688231</v>
      </c>
      <c r="DD10" s="13">
        <v>-1.0341456122564541E-2</v>
      </c>
      <c r="DE10" s="13">
        <v>1.0342525690321125E-2</v>
      </c>
      <c r="DF10" s="13">
        <v>0</v>
      </c>
    </row>
    <row r="11" spans="1:113" ht="15.5" x14ac:dyDescent="0.35">
      <c r="A11" s="88"/>
      <c r="C11" s="80" t="s">
        <v>71</v>
      </c>
      <c r="D11" s="13" t="s">
        <v>69</v>
      </c>
      <c r="E11" s="33">
        <f>VLOOKUP(C11,[1]CLASSI_EAI!A:G,7,FALSE)</f>
        <v>36.9704815022411</v>
      </c>
      <c r="F11" s="13">
        <v>-9.1872188643116193E-2</v>
      </c>
      <c r="G11" s="13">
        <v>-0.25021703014750374</v>
      </c>
      <c r="H11" s="13">
        <v>0.255031276437645</v>
      </c>
      <c r="I11" s="13">
        <v>-3.6491689382771142</v>
      </c>
      <c r="J11" s="13">
        <v>-5.8486922612667307</v>
      </c>
      <c r="K11" s="13">
        <v>-6.6696968670654888</v>
      </c>
      <c r="L11" s="13">
        <v>-14.351901728126581</v>
      </c>
      <c r="M11" s="13">
        <v>-6.706663311072103</v>
      </c>
      <c r="N11" s="13">
        <v>-5.907194855210629</v>
      </c>
      <c r="O11" s="13">
        <v>4.0446786431158843</v>
      </c>
      <c r="P11" s="13">
        <v>8.0629150420419968</v>
      </c>
      <c r="Q11" s="13">
        <v>4.3448912281901064</v>
      </c>
      <c r="R11" s="13">
        <v>3.9583681713308394</v>
      </c>
      <c r="S11" s="13">
        <v>8.1863937386612129</v>
      </c>
      <c r="T11" s="13">
        <v>0</v>
      </c>
      <c r="U11" s="13">
        <v>-5.9132619238686734</v>
      </c>
      <c r="V11" s="13">
        <v>-9.428098879337842</v>
      </c>
      <c r="W11" s="13">
        <v>0</v>
      </c>
      <c r="X11" s="13">
        <v>-4.858375846510377</v>
      </c>
      <c r="Y11" s="13">
        <v>0</v>
      </c>
      <c r="Z11" s="13">
        <v>0</v>
      </c>
      <c r="AA11" s="13">
        <v>0</v>
      </c>
      <c r="AB11" s="13">
        <v>0</v>
      </c>
      <c r="AC11" s="13">
        <v>-8.7523453772399566</v>
      </c>
      <c r="AD11" s="13">
        <v>-1.5988001924219675</v>
      </c>
      <c r="AE11" s="13">
        <v>0</v>
      </c>
      <c r="AF11" s="13">
        <v>8.12388566170128</v>
      </c>
      <c r="AG11" s="13">
        <v>2.4787008133381194</v>
      </c>
      <c r="AH11" s="13">
        <v>-1.8386004510273057</v>
      </c>
      <c r="AI11" s="13">
        <v>10.111356531648941</v>
      </c>
      <c r="AJ11" s="13">
        <v>0.20214638112538985</v>
      </c>
      <c r="AK11" s="13">
        <v>-2.7730858775135259</v>
      </c>
      <c r="AL11" s="13">
        <v>-0.26635773769256854</v>
      </c>
      <c r="AM11" s="13">
        <v>0.85373481707269328</v>
      </c>
      <c r="AN11" s="13">
        <v>-3.0849671991478922</v>
      </c>
      <c r="AO11" s="13">
        <v>-5.08299837330215</v>
      </c>
      <c r="AP11" s="13">
        <v>-2.7304584895289197</v>
      </c>
      <c r="AQ11" s="13">
        <v>-0.29022498570291377</v>
      </c>
      <c r="AR11" s="13">
        <v>-3.1505435158135309</v>
      </c>
      <c r="AS11" s="13">
        <v>7.3443042465615171E-2</v>
      </c>
      <c r="AT11" s="13">
        <v>-0.48660397872551941</v>
      </c>
      <c r="AU11" s="13">
        <v>0.70837654261597383</v>
      </c>
      <c r="AV11" s="13">
        <v>8.2521086916661712</v>
      </c>
      <c r="AW11" s="13">
        <v>4.3198015162243086</v>
      </c>
      <c r="AX11" s="13">
        <v>-2.4338371970229922</v>
      </c>
      <c r="AY11" s="13">
        <v>-0.67262726905239489</v>
      </c>
      <c r="AZ11" s="13">
        <v>3.3780937288622637</v>
      </c>
      <c r="BA11" s="13">
        <v>-0.40300466273994751</v>
      </c>
      <c r="BB11" s="13">
        <v>0.24753967107871144</v>
      </c>
      <c r="BC11" s="13">
        <v>-2.5761131772014001</v>
      </c>
      <c r="BD11" s="13">
        <v>-8.6262072549745596</v>
      </c>
      <c r="BE11" s="13">
        <v>4.0453419501874865</v>
      </c>
      <c r="BF11" s="13">
        <v>9.7543071842243201</v>
      </c>
      <c r="BG11" s="13">
        <v>6.6270659102653839</v>
      </c>
      <c r="BH11" s="13">
        <v>2.7014536857794758</v>
      </c>
      <c r="BI11" s="13">
        <v>4.0496230365242747</v>
      </c>
      <c r="BJ11" s="13">
        <v>2.5547078572053739</v>
      </c>
      <c r="BK11" s="13">
        <v>2.4342113953599087</v>
      </c>
      <c r="BL11" s="13">
        <v>0.30971257582195211</v>
      </c>
      <c r="BM11" s="13">
        <v>3.1345179721240291</v>
      </c>
      <c r="BN11" s="13">
        <v>2.895942587396827</v>
      </c>
      <c r="BO11" s="13">
        <v>-1.2640855284263508</v>
      </c>
      <c r="BP11" s="13">
        <v>15.89724721923702</v>
      </c>
      <c r="BQ11" s="13">
        <v>5.7975085237002677</v>
      </c>
      <c r="BR11" s="13">
        <v>3.820749950406821</v>
      </c>
      <c r="BS11" s="13">
        <v>-4.2189634924044039</v>
      </c>
      <c r="BT11" s="13">
        <v>4.7978547754338852</v>
      </c>
      <c r="BU11" s="13">
        <v>0.75617543940524889</v>
      </c>
      <c r="BV11" s="13">
        <v>-5.9067080671260204</v>
      </c>
      <c r="BW11" s="13">
        <v>4.2175402861480471</v>
      </c>
      <c r="BX11" s="13">
        <v>-0.99660513055633837</v>
      </c>
      <c r="BY11" s="13">
        <v>4.5838077237991159</v>
      </c>
      <c r="BZ11" s="13">
        <v>4.9040171244445485</v>
      </c>
      <c r="CA11" s="13">
        <v>8.0927842703449429</v>
      </c>
      <c r="CB11" s="13">
        <v>-0.13037967526633443</v>
      </c>
      <c r="CC11" s="13">
        <v>1.2604273903098262</v>
      </c>
      <c r="CD11" s="13">
        <v>-0.36779251188543416</v>
      </c>
      <c r="CE11" s="13">
        <v>3.9870938758723717E-2</v>
      </c>
      <c r="CF11" s="13">
        <v>-3.3349679043029767</v>
      </c>
      <c r="CG11" s="13">
        <v>-6.1668904718456314</v>
      </c>
      <c r="CH11" s="13">
        <v>-13.114375201454898</v>
      </c>
      <c r="CI11" s="13">
        <v>-3.726948822719689</v>
      </c>
      <c r="CJ11" s="13">
        <v>-0.77765523512933754</v>
      </c>
      <c r="CK11" s="13">
        <v>-0.95720582196183734</v>
      </c>
      <c r="CL11" s="13">
        <v>0</v>
      </c>
      <c r="CM11" s="13">
        <v>-3.9500062681425363</v>
      </c>
      <c r="CN11" s="13">
        <v>-4.3108856285977932</v>
      </c>
      <c r="CO11" s="13">
        <v>8.5822282769197002</v>
      </c>
      <c r="CP11" s="13">
        <v>5.9034795023353404</v>
      </c>
      <c r="CQ11" s="13">
        <v>5.5633587498017611</v>
      </c>
      <c r="CR11" s="13">
        <v>-1.1675168906366995</v>
      </c>
      <c r="CS11" s="13">
        <v>-1.8063647072695477</v>
      </c>
      <c r="CT11" s="13">
        <v>-1.9166633367977637</v>
      </c>
      <c r="CU11" s="13">
        <v>2.8577179814452291</v>
      </c>
      <c r="CV11" s="13">
        <v>1.1297142586152331</v>
      </c>
      <c r="CW11" s="13">
        <v>-0.4533012492083599</v>
      </c>
      <c r="CX11" s="13">
        <v>5.1578544641101898</v>
      </c>
      <c r="CY11" s="13">
        <v>-6.3460765281231684</v>
      </c>
      <c r="CZ11" s="13">
        <v>3.6520986457967419</v>
      </c>
      <c r="DA11" s="13">
        <v>-1.7203395173683411</v>
      </c>
      <c r="DB11" s="13">
        <v>-0.79035921936830844</v>
      </c>
      <c r="DC11" s="13">
        <v>-3.2813806065484119</v>
      </c>
      <c r="DD11" s="13">
        <v>-1.0169839813992887</v>
      </c>
      <c r="DE11" s="13">
        <v>-4.1778206293707543</v>
      </c>
      <c r="DF11" s="13">
        <v>0.67077883617330247</v>
      </c>
    </row>
    <row r="12" spans="1:113" ht="15.5" x14ac:dyDescent="0.35">
      <c r="A12" s="88"/>
      <c r="C12" s="80" t="s">
        <v>72</v>
      </c>
      <c r="D12" s="13" t="s">
        <v>73</v>
      </c>
      <c r="E12" s="33">
        <f>VLOOKUP(C12,[1]CLASSI_EAI!A:G,7,FALSE)</f>
        <v>2.5251990265486399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-4.5742913526580775E-2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21.951153458454307</v>
      </c>
      <c r="Z12" s="13">
        <v>3.0219897682728369</v>
      </c>
      <c r="AA12" s="13">
        <v>3.1789575717989793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1.0045743820591646</v>
      </c>
      <c r="AQ12" s="13">
        <v>-1.5714365057363677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15.766282808584187</v>
      </c>
      <c r="BQ12" s="13">
        <v>1.8963564403517319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0.70553916824420693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1.6703006810788512</v>
      </c>
      <c r="CR12" s="13">
        <v>-2.2204460492503131E-14</v>
      </c>
      <c r="CS12" s="13">
        <v>0</v>
      </c>
      <c r="CT12" s="13">
        <v>14.482921963708929</v>
      </c>
      <c r="CU12" s="13">
        <v>-3.3306690738754696E-14</v>
      </c>
      <c r="CV12" s="13">
        <v>-7.6102010412624548</v>
      </c>
      <c r="CW12" s="13">
        <v>0.93966498646480545</v>
      </c>
      <c r="CX12" s="13">
        <v>0</v>
      </c>
      <c r="CY12" s="13">
        <v>0</v>
      </c>
      <c r="CZ12" s="13">
        <v>1.1108152116739545</v>
      </c>
      <c r="DA12" s="13">
        <v>0</v>
      </c>
      <c r="DB12" s="13">
        <v>0</v>
      </c>
      <c r="DC12" s="13">
        <v>0</v>
      </c>
      <c r="DD12" s="13">
        <v>0</v>
      </c>
      <c r="DE12" s="13">
        <v>1.2198729249942586</v>
      </c>
      <c r="DF12" s="13">
        <v>0</v>
      </c>
    </row>
    <row r="13" spans="1:113" ht="15.5" x14ac:dyDescent="0.35">
      <c r="A13" s="88"/>
      <c r="C13" s="80" t="s">
        <v>75</v>
      </c>
      <c r="D13" s="13" t="s">
        <v>76</v>
      </c>
      <c r="E13" s="33">
        <f>VLOOKUP(C13,[1]CLASSI_EAI!A:G,7,FALSE)</f>
        <v>8.7142195975881709</v>
      </c>
      <c r="F13" s="13">
        <v>0.19030119940419699</v>
      </c>
      <c r="G13" s="13">
        <v>6.1622457820931231E-4</v>
      </c>
      <c r="H13" s="13">
        <v>0.39235887865345376</v>
      </c>
      <c r="I13" s="13">
        <v>-6.1264796544002742E-3</v>
      </c>
      <c r="J13" s="13">
        <v>2.4451318674012512E-2</v>
      </c>
      <c r="K13" s="13">
        <v>-0.49404429665355076</v>
      </c>
      <c r="L13" s="13">
        <v>34.626786501808638</v>
      </c>
      <c r="M13" s="13">
        <v>7.5208790534886383E-2</v>
      </c>
      <c r="N13" s="13">
        <v>-9.2302015249490221E-2</v>
      </c>
      <c r="O13" s="13">
        <v>7.4629807918880076E-2</v>
      </c>
      <c r="P13" s="13">
        <v>-0.30742839129294097</v>
      </c>
      <c r="Q13" s="13">
        <v>-0.16798453686757142</v>
      </c>
      <c r="R13" s="13">
        <v>-3.4775743002446458E-2</v>
      </c>
      <c r="S13" s="13">
        <v>9.5480674390480793</v>
      </c>
      <c r="T13" s="13">
        <v>-0.59055505532997765</v>
      </c>
      <c r="U13" s="13">
        <v>9.0675643574713369</v>
      </c>
      <c r="V13" s="13">
        <v>-2.1646625275262288E-2</v>
      </c>
      <c r="W13" s="13">
        <v>-0.33438542778181368</v>
      </c>
      <c r="X13" s="13">
        <v>-0.19578148003746021</v>
      </c>
      <c r="Y13" s="13">
        <v>-0.60043013597927963</v>
      </c>
      <c r="Z13" s="13">
        <v>0.18999285862668636</v>
      </c>
      <c r="AA13" s="13">
        <v>-0.43257711296665891</v>
      </c>
      <c r="AB13" s="13">
        <v>0.71804036483695821</v>
      </c>
      <c r="AC13" s="13">
        <v>-0.48228469181651468</v>
      </c>
      <c r="AD13" s="13">
        <v>0</v>
      </c>
      <c r="AE13" s="13">
        <v>0</v>
      </c>
      <c r="AF13" s="13">
        <v>0.68581770745870241</v>
      </c>
      <c r="AG13" s="13">
        <v>0.3893687693287351</v>
      </c>
      <c r="AH13" s="13">
        <v>-0.25859808871786516</v>
      </c>
      <c r="AI13" s="13">
        <v>-0.4330766544036968</v>
      </c>
      <c r="AJ13" s="13">
        <v>-6.4573246851729049E-2</v>
      </c>
      <c r="AK13" s="13">
        <v>-0.17675506861130064</v>
      </c>
      <c r="AL13" s="13">
        <v>0</v>
      </c>
      <c r="AM13" s="13">
        <v>0</v>
      </c>
      <c r="AN13" s="13">
        <v>0.45026010886122236</v>
      </c>
      <c r="AO13" s="13">
        <v>5.186851963752126E-2</v>
      </c>
      <c r="AP13" s="13">
        <v>0.41025575645310397</v>
      </c>
      <c r="AQ13" s="13">
        <v>0.14210125979623456</v>
      </c>
      <c r="AR13" s="13">
        <v>5.3719462866919088E-3</v>
      </c>
      <c r="AS13" s="13">
        <v>0.15055810357895716</v>
      </c>
      <c r="AT13" s="13">
        <v>-6.5965311429438955E-3</v>
      </c>
      <c r="AU13" s="13">
        <v>2.6633899317562992E-2</v>
      </c>
      <c r="AV13" s="13">
        <v>-0.14290069667572958</v>
      </c>
      <c r="AW13" s="13">
        <v>-1.3855739918389176E-2</v>
      </c>
      <c r="AX13" s="13">
        <v>-0.38235309408816143</v>
      </c>
      <c r="AY13" s="13">
        <v>0.86808425931494959</v>
      </c>
      <c r="AZ13" s="13">
        <v>0</v>
      </c>
      <c r="BA13" s="13">
        <v>0</v>
      </c>
      <c r="BB13" s="13">
        <v>10.424221917100706</v>
      </c>
      <c r="BC13" s="13">
        <v>2.4841889271542961E-2</v>
      </c>
      <c r="BD13" s="13">
        <v>-1.6295616818744363</v>
      </c>
      <c r="BE13" s="13">
        <v>0.22603630350819248</v>
      </c>
      <c r="BF13" s="13">
        <v>-0.17686603206462648</v>
      </c>
      <c r="BG13" s="13">
        <v>0.31237026630097642</v>
      </c>
      <c r="BH13" s="13">
        <v>0.28889538418119809</v>
      </c>
      <c r="BI13" s="13">
        <v>-5.1539796166921725E-2</v>
      </c>
      <c r="BJ13" s="13">
        <v>-0.46922383632492792</v>
      </c>
      <c r="BK13" s="13">
        <v>1.0919788222882199</v>
      </c>
      <c r="BL13" s="13">
        <v>-0.26362758237492567</v>
      </c>
      <c r="BM13" s="13">
        <v>0.17263999613139625</v>
      </c>
      <c r="BN13" s="13">
        <v>0.56959984545872366</v>
      </c>
      <c r="BO13" s="13">
        <v>-0.40798866052789151</v>
      </c>
      <c r="BP13" s="13">
        <v>0.4719695735734275</v>
      </c>
      <c r="BQ13" s="13">
        <v>-7.8318122442999627E-2</v>
      </c>
      <c r="BR13" s="13">
        <v>0.21922736423192202</v>
      </c>
      <c r="BS13" s="13">
        <v>-0.49836223996402307</v>
      </c>
      <c r="BT13" s="13">
        <v>-0.24832460597676853</v>
      </c>
      <c r="BU13" s="13">
        <v>-0.18801964407644256</v>
      </c>
      <c r="BV13" s="13">
        <v>0</v>
      </c>
      <c r="BW13" s="13">
        <v>0</v>
      </c>
      <c r="BX13" s="13">
        <v>-0.61463454321739608</v>
      </c>
      <c r="BY13" s="13">
        <v>-0.31114969055008324</v>
      </c>
      <c r="BZ13" s="13">
        <v>-0.70769053157252459</v>
      </c>
      <c r="CA13" s="13">
        <v>0.44546245868328782</v>
      </c>
      <c r="CB13" s="13">
        <v>-0.27681145657459938</v>
      </c>
      <c r="CC13" s="13">
        <v>-1.0441350800599603</v>
      </c>
      <c r="CD13" s="13">
        <v>-0.69632756870756651</v>
      </c>
      <c r="CE13" s="13">
        <v>0</v>
      </c>
      <c r="CF13" s="13">
        <v>-0.22443145366357609</v>
      </c>
      <c r="CG13" s="13">
        <v>0</v>
      </c>
      <c r="CH13" s="13">
        <v>0.46557212001192561</v>
      </c>
      <c r="CI13" s="13">
        <v>0.57225826433708882</v>
      </c>
      <c r="CJ13" s="13">
        <v>-1.083144336733266</v>
      </c>
      <c r="CK13" s="13">
        <v>-0.18512757407209701</v>
      </c>
      <c r="CL13" s="13">
        <v>4.874498329459076E-2</v>
      </c>
      <c r="CM13" s="13">
        <v>0.81337452012530953</v>
      </c>
      <c r="CN13" s="13">
        <v>0.98023578503994013</v>
      </c>
      <c r="CO13" s="13">
        <v>-1.0612014774202816E-2</v>
      </c>
      <c r="CP13" s="13">
        <v>4.7439668072946084E-2</v>
      </c>
      <c r="CQ13" s="13">
        <v>-8.4718112534587497E-2</v>
      </c>
      <c r="CR13" s="13">
        <v>0.17010734079427881</v>
      </c>
      <c r="CS13" s="13">
        <v>0.19740549427467169</v>
      </c>
      <c r="CT13" s="13">
        <v>-9.224537035779079E-4</v>
      </c>
      <c r="CU13" s="13">
        <v>-3.5461016908248322</v>
      </c>
      <c r="CV13" s="13">
        <v>0.25972888985890119</v>
      </c>
      <c r="CW13" s="13">
        <v>0</v>
      </c>
      <c r="CX13" s="13">
        <v>-0.31956091718456925</v>
      </c>
      <c r="CY13" s="13">
        <v>0.17691256849250436</v>
      </c>
      <c r="CZ13" s="13">
        <v>0.63168476256765249</v>
      </c>
      <c r="DA13" s="13">
        <v>-0.91041499357724653</v>
      </c>
      <c r="DB13" s="13">
        <v>8.1509279946478941E-2</v>
      </c>
      <c r="DC13" s="13">
        <v>0.12094296049629527</v>
      </c>
      <c r="DD13" s="13">
        <v>0</v>
      </c>
      <c r="DE13" s="13">
        <v>-0.16439176445324222</v>
      </c>
      <c r="DF13" s="13">
        <v>0.44366471722618872</v>
      </c>
    </row>
    <row r="14" spans="1:113" ht="15.5" x14ac:dyDescent="0.35">
      <c r="A14" s="88"/>
      <c r="C14" s="80" t="s">
        <v>78</v>
      </c>
      <c r="D14" s="13" t="s">
        <v>79</v>
      </c>
      <c r="E14" s="33">
        <f>VLOOKUP(C14,[1]CLASSI_EAI!A:G,7,FALSE)</f>
        <v>22.7433092031056</v>
      </c>
      <c r="F14" s="13">
        <v>-0.61547943542407113</v>
      </c>
      <c r="G14" s="13">
        <v>3.0489325086230812</v>
      </c>
      <c r="H14" s="13">
        <v>-0.11878975413580628</v>
      </c>
      <c r="I14" s="13">
        <v>-3.6888244046906493E-3</v>
      </c>
      <c r="J14" s="13">
        <v>-0.56670889224937904</v>
      </c>
      <c r="K14" s="13">
        <v>0</v>
      </c>
      <c r="L14" s="13">
        <v>-1.009155410041096</v>
      </c>
      <c r="M14" s="13">
        <v>3.0257054929482496</v>
      </c>
      <c r="N14" s="13">
        <v>-0.35011463446974478</v>
      </c>
      <c r="O14" s="13">
        <v>-0.75718095040464561</v>
      </c>
      <c r="P14" s="13">
        <v>0.30896416484946787</v>
      </c>
      <c r="Q14" s="13">
        <v>0.59905544958755996</v>
      </c>
      <c r="R14" s="13">
        <v>1.1811880253889351</v>
      </c>
      <c r="S14" s="13">
        <v>-0.43309323709406211</v>
      </c>
      <c r="T14" s="13">
        <v>-0.10746685525685473</v>
      </c>
      <c r="U14" s="13">
        <v>0.47924969199406586</v>
      </c>
      <c r="V14" s="13">
        <v>0.64337279028461314</v>
      </c>
      <c r="W14" s="13">
        <v>-0.18844575771030936</v>
      </c>
      <c r="X14" s="13">
        <v>8.864698502322188E-2</v>
      </c>
      <c r="Y14" s="13">
        <v>-0.12182408868890438</v>
      </c>
      <c r="Z14" s="13">
        <v>-5.6675925791771498E-2</v>
      </c>
      <c r="AA14" s="13">
        <v>1.6160197636307716</v>
      </c>
      <c r="AB14" s="13">
        <v>-9.0494882373337582E-2</v>
      </c>
      <c r="AC14" s="13">
        <v>-0.50562050684119786</v>
      </c>
      <c r="AD14" s="13">
        <v>-0.49924583916923782</v>
      </c>
      <c r="AE14" s="13">
        <v>0.37909044672557179</v>
      </c>
      <c r="AF14" s="13">
        <v>-0.14966316987496953</v>
      </c>
      <c r="AG14" s="13">
        <v>0.14988749625310938</v>
      </c>
      <c r="AH14" s="13">
        <v>-0.40911388295020723</v>
      </c>
      <c r="AI14" s="13">
        <v>0.61245566790077977</v>
      </c>
      <c r="AJ14" s="13">
        <v>-0.14922992151168435</v>
      </c>
      <c r="AK14" s="13">
        <v>-0.15719682627723941</v>
      </c>
      <c r="AL14" s="13">
        <v>0</v>
      </c>
      <c r="AM14" s="13">
        <v>0.3867162847210448</v>
      </c>
      <c r="AN14" s="13">
        <v>-4.7877249012739931E-2</v>
      </c>
      <c r="AO14" s="13">
        <v>-4.8687215808707052E-2</v>
      </c>
      <c r="AP14" s="13">
        <v>-0.4183586665289063</v>
      </c>
      <c r="AQ14" s="13">
        <v>3.7090139246087617E-2</v>
      </c>
      <c r="AR14" s="13">
        <v>0.86187142080365042</v>
      </c>
      <c r="AS14" s="13">
        <v>4.9550420463173594E-2</v>
      </c>
      <c r="AT14" s="13">
        <v>0</v>
      </c>
      <c r="AU14" s="13">
        <v>-0.18226850896707614</v>
      </c>
      <c r="AV14" s="13">
        <v>-0.1780494518828446</v>
      </c>
      <c r="AW14" s="13">
        <v>0</v>
      </c>
      <c r="AX14" s="13">
        <v>-0.17402130510701941</v>
      </c>
      <c r="AY14" s="13">
        <v>0</v>
      </c>
      <c r="AZ14" s="13">
        <v>-0.21961652754214356</v>
      </c>
      <c r="BA14" s="13">
        <v>0</v>
      </c>
      <c r="BB14" s="13">
        <v>0.36725033212918756</v>
      </c>
      <c r="BC14" s="13">
        <v>0</v>
      </c>
      <c r="BD14" s="13">
        <v>-0.33637623446604037</v>
      </c>
      <c r="BE14" s="13">
        <v>0</v>
      </c>
      <c r="BF14" s="13">
        <v>0.17111455173435264</v>
      </c>
      <c r="BG14" s="13">
        <v>-0.21646443069663901</v>
      </c>
      <c r="BH14" s="13">
        <v>0</v>
      </c>
      <c r="BI14" s="13">
        <v>0</v>
      </c>
      <c r="BJ14" s="13">
        <v>0.51856265298655391</v>
      </c>
      <c r="BK14" s="13">
        <v>0.68126939647608076</v>
      </c>
      <c r="BL14" s="13">
        <v>0</v>
      </c>
      <c r="BM14" s="13">
        <v>0.40217633397285901</v>
      </c>
      <c r="BN14" s="13">
        <v>0</v>
      </c>
      <c r="BO14" s="13">
        <v>0</v>
      </c>
      <c r="BP14" s="13">
        <v>0</v>
      </c>
      <c r="BQ14" s="13">
        <v>0.20816721877527922</v>
      </c>
      <c r="BR14" s="13">
        <v>0</v>
      </c>
      <c r="BS14" s="13">
        <v>0</v>
      </c>
      <c r="BT14" s="13">
        <v>1.8172848553976495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0.18030797452406322</v>
      </c>
      <c r="CI14" s="13">
        <v>0</v>
      </c>
      <c r="CJ14" s="13">
        <v>0</v>
      </c>
      <c r="CK14" s="13">
        <v>0</v>
      </c>
      <c r="CL14" s="13">
        <v>1.2957649515694447</v>
      </c>
      <c r="CM14" s="13">
        <v>-0.31423608109600876</v>
      </c>
      <c r="CN14" s="13">
        <v>-2.4712128456524485</v>
      </c>
      <c r="CO14" s="13">
        <v>0</v>
      </c>
      <c r="CP14" s="13">
        <v>0</v>
      </c>
      <c r="CQ14" s="13">
        <v>0.81603887684942311</v>
      </c>
      <c r="CR14" s="13">
        <v>0</v>
      </c>
      <c r="CS14" s="13">
        <v>-2.8030014398962799</v>
      </c>
      <c r="CT14" s="13">
        <v>0.17908330001077388</v>
      </c>
      <c r="CU14" s="13">
        <v>0</v>
      </c>
      <c r="CV14" s="13">
        <v>-3.0171677945658559</v>
      </c>
      <c r="CW14" s="13">
        <v>0</v>
      </c>
      <c r="CX14" s="13">
        <v>0.86701706484637597</v>
      </c>
      <c r="CY14" s="13">
        <v>0</v>
      </c>
      <c r="CZ14" s="13">
        <v>0</v>
      </c>
      <c r="DA14" s="13">
        <v>9.0542878454735742E-2</v>
      </c>
      <c r="DB14" s="13">
        <v>-0.8245414503704529</v>
      </c>
      <c r="DC14" s="13">
        <v>0</v>
      </c>
      <c r="DD14" s="13">
        <v>0</v>
      </c>
      <c r="DE14" s="13">
        <v>0</v>
      </c>
      <c r="DF14" s="13">
        <v>0</v>
      </c>
    </row>
    <row r="15" spans="1:113" ht="15.5" x14ac:dyDescent="0.35">
      <c r="A15" s="88"/>
      <c r="B15" s="80">
        <v>108</v>
      </c>
      <c r="C15" s="80">
        <v>1080</v>
      </c>
      <c r="D15" s="13" t="s">
        <v>80</v>
      </c>
      <c r="E15" s="33">
        <f>[1]CLASSI_EAI!G273</f>
        <v>19.404789226877501</v>
      </c>
      <c r="F15" s="13">
        <v>0</v>
      </c>
      <c r="G15" s="13">
        <v>0</v>
      </c>
      <c r="H15" s="13">
        <v>7.4803860112138132E-2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0.62572318210982747</v>
      </c>
      <c r="Y15" s="13">
        <v>0</v>
      </c>
      <c r="Z15" s="13">
        <v>0</v>
      </c>
      <c r="AA15" s="13">
        <v>0</v>
      </c>
      <c r="AB15" s="13">
        <v>1.0158154977076173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3.6369777922373059</v>
      </c>
      <c r="AV15" s="13">
        <v>0</v>
      </c>
      <c r="AW15" s="13">
        <v>0</v>
      </c>
      <c r="AX15" s="13">
        <v>-7.0970138781728087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5.356088511238899</v>
      </c>
      <c r="BF15" s="13">
        <v>0</v>
      </c>
      <c r="BG15" s="13">
        <v>3.0891780279634462</v>
      </c>
      <c r="BH15" s="13">
        <v>0</v>
      </c>
      <c r="BI15" s="13">
        <v>0</v>
      </c>
      <c r="BJ15" s="13">
        <v>-7.7163293783383153</v>
      </c>
      <c r="BK15" s="13">
        <v>0</v>
      </c>
      <c r="BL15" s="13">
        <v>0</v>
      </c>
      <c r="BM15" s="13">
        <v>9.932063481882647</v>
      </c>
      <c r="BN15" s="13">
        <v>0</v>
      </c>
      <c r="BO15" s="13">
        <v>0</v>
      </c>
      <c r="BP15" s="13">
        <v>0</v>
      </c>
      <c r="BQ15" s="13">
        <v>3.3946307914341167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0.88999990139788654</v>
      </c>
      <c r="BY15" s="13">
        <v>0</v>
      </c>
      <c r="BZ15" s="13">
        <v>-0.60332469028897551</v>
      </c>
      <c r="CA15" s="13">
        <v>0</v>
      </c>
      <c r="CB15" s="13">
        <v>-0.28051651323796056</v>
      </c>
      <c r="CC15" s="13">
        <v>0.86614036976060405</v>
      </c>
      <c r="CD15" s="13">
        <v>0</v>
      </c>
      <c r="CE15" s="13">
        <v>0</v>
      </c>
      <c r="CF15" s="13">
        <v>-1.1843084486926947</v>
      </c>
      <c r="CG15" s="13">
        <v>0</v>
      </c>
      <c r="CH15" s="13">
        <v>-2.1407933220818354E-2</v>
      </c>
      <c r="CI15" s="13">
        <v>-12.802654480484609</v>
      </c>
      <c r="CJ15" s="13">
        <v>6.7789972372440888</v>
      </c>
      <c r="CK15" s="13">
        <v>0</v>
      </c>
      <c r="CL15" s="13">
        <v>0</v>
      </c>
      <c r="CM15" s="13">
        <v>0</v>
      </c>
      <c r="CN15" s="13">
        <v>0</v>
      </c>
      <c r="CO15" s="13">
        <v>-4.1897843498733938</v>
      </c>
      <c r="CP15" s="13">
        <v>-1.6552894084366776</v>
      </c>
      <c r="CQ15" s="13">
        <v>0</v>
      </c>
      <c r="CR15" s="13">
        <v>6.6613381477509392E-14</v>
      </c>
      <c r="CS15" s="13">
        <v>0</v>
      </c>
      <c r="CT15" s="13">
        <v>-5.5511151231257827E-14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2.3558462589538198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</row>
    <row r="16" spans="1:113" ht="15.5" x14ac:dyDescent="0.35">
      <c r="A16" s="83">
        <v>11</v>
      </c>
      <c r="B16" s="83"/>
      <c r="C16" s="83"/>
      <c r="D16" s="45" t="s">
        <v>13</v>
      </c>
      <c r="E16" s="24">
        <f>E17+E18+E19+E20</f>
        <v>74.231219447824927</v>
      </c>
      <c r="F16" s="70">
        <v>-1.7811342695739363E-3</v>
      </c>
      <c r="G16" s="70">
        <v>7.0040829106332581E-3</v>
      </c>
      <c r="H16" s="70">
        <v>0.2385644241073015</v>
      </c>
      <c r="I16" s="70">
        <v>4.7163458210208731E-3</v>
      </c>
      <c r="J16" s="70">
        <v>-3.400213519388906E-3</v>
      </c>
      <c r="K16" s="70">
        <v>1.6150892119259908E-4</v>
      </c>
      <c r="L16" s="70">
        <v>1.4964114718685195E-3</v>
      </c>
      <c r="M16" s="70">
        <v>5.0948064626910039E-3</v>
      </c>
      <c r="N16" s="70">
        <v>-9.3207691085228639E-3</v>
      </c>
      <c r="O16" s="70">
        <v>2.5702329790933121E-3</v>
      </c>
      <c r="P16" s="70">
        <v>2.8163029996086664E-3</v>
      </c>
      <c r="Q16" s="70">
        <v>-4.523401244227454E-3</v>
      </c>
      <c r="R16" s="70">
        <v>4.0673518737488479E-4</v>
      </c>
      <c r="S16" s="70">
        <v>1.0670715055470126</v>
      </c>
      <c r="T16" s="70">
        <v>0.24824133787400005</v>
      </c>
      <c r="U16" s="70">
        <v>0.1104297392155118</v>
      </c>
      <c r="V16" s="70">
        <v>7.3373583546088028E-3</v>
      </c>
      <c r="W16" s="70">
        <v>4.6236293210197843</v>
      </c>
      <c r="X16" s="70">
        <v>3.0570457345557855E-4</v>
      </c>
      <c r="Y16" s="70">
        <v>-4.8507609936687679E-3</v>
      </c>
      <c r="Z16" s="70">
        <v>-2.9547754592740283E-3</v>
      </c>
      <c r="AA16" s="70">
        <v>-0.19224081521216352</v>
      </c>
      <c r="AB16" s="70">
        <v>1.8665198439737907E-3</v>
      </c>
      <c r="AC16" s="70">
        <v>-0.2870813390613236</v>
      </c>
      <c r="AD16" s="70">
        <v>-1.4474752449977757E-3</v>
      </c>
      <c r="AE16" s="70">
        <v>7.5281114551017936E-4</v>
      </c>
      <c r="AF16" s="70">
        <v>-0.12309323464404498</v>
      </c>
      <c r="AG16" s="70">
        <v>-0.1411632489188408</v>
      </c>
      <c r="AH16" s="70">
        <v>-7.6386207088519065E-2</v>
      </c>
      <c r="AI16" s="70">
        <v>9.5274947800283449E-2</v>
      </c>
      <c r="AJ16" s="70">
        <v>-0.53907973227462769</v>
      </c>
      <c r="AK16" s="70">
        <v>-1.1177561425435023E-3</v>
      </c>
      <c r="AL16" s="70">
        <v>0.27166186778393442</v>
      </c>
      <c r="AM16" s="70">
        <v>0.35900399175228248</v>
      </c>
      <c r="AN16" s="70">
        <v>5.7002398945460442E-3</v>
      </c>
      <c r="AO16" s="70">
        <v>-7.3760667434152882E-2</v>
      </c>
      <c r="AP16" s="70">
        <v>-1.2425948992424996</v>
      </c>
      <c r="AQ16" s="70">
        <v>-9.112577505132613E-4</v>
      </c>
      <c r="AR16" s="70">
        <v>1.3805562633411039</v>
      </c>
      <c r="AS16" s="70">
        <v>-0.32517000661316242</v>
      </c>
      <c r="AT16" s="70">
        <v>2.9367052398976412E-3</v>
      </c>
      <c r="AU16" s="70">
        <v>1.2169775124526439E-3</v>
      </c>
      <c r="AV16" s="70">
        <v>0.64220802903172114</v>
      </c>
      <c r="AW16" s="70">
        <v>-0.71009304653592009</v>
      </c>
      <c r="AX16" s="70">
        <v>4.706912703156263E-3</v>
      </c>
      <c r="AY16" s="70">
        <v>-0.96034558810653703</v>
      </c>
      <c r="AZ16" s="70">
        <v>3.5502880171289775E-3</v>
      </c>
      <c r="BA16" s="70">
        <v>-4.0164476471371557E-3</v>
      </c>
      <c r="BB16" s="70">
        <v>4.3222692552413733E-3</v>
      </c>
      <c r="BC16" s="70">
        <v>-6.8648325399323085E-3</v>
      </c>
      <c r="BD16" s="70">
        <v>0.32095221999131063</v>
      </c>
      <c r="BE16" s="70">
        <v>-0.26794606150428724</v>
      </c>
      <c r="BF16" s="70">
        <v>-0.56966116217405105</v>
      </c>
      <c r="BG16" s="70">
        <v>0.13739135984787154</v>
      </c>
      <c r="BH16" s="70">
        <v>-0.31387247839723686</v>
      </c>
      <c r="BI16" s="70">
        <v>-0.10606120202339975</v>
      </c>
      <c r="BJ16" s="70">
        <v>-8.2877873659470414E-2</v>
      </c>
      <c r="BK16" s="70">
        <v>0.15947614371636387</v>
      </c>
      <c r="BL16" s="70">
        <v>2.1715386235279244</v>
      </c>
      <c r="BM16" s="70">
        <v>0</v>
      </c>
      <c r="BN16" s="70">
        <v>0.11329581789856213</v>
      </c>
      <c r="BO16" s="70">
        <v>0.80438543150247455</v>
      </c>
      <c r="BP16" s="70">
        <v>0.40006188920227448</v>
      </c>
      <c r="BQ16" s="70">
        <v>0.66397222184928495</v>
      </c>
      <c r="BR16" s="70">
        <v>0.27085102703201525</v>
      </c>
      <c r="BS16" s="70">
        <v>0.98710906094325868</v>
      </c>
      <c r="BT16" s="70">
        <v>-1.7018929719836429E-2</v>
      </c>
      <c r="BU16" s="70">
        <v>0.51819080825277197</v>
      </c>
      <c r="BV16" s="70">
        <v>0</v>
      </c>
      <c r="BW16" s="70">
        <v>0.28007097389639579</v>
      </c>
      <c r="BX16" s="70">
        <v>9.4495619308787582E-2</v>
      </c>
      <c r="BY16" s="70">
        <v>-8.3919354509354172E-3</v>
      </c>
      <c r="BZ16" s="70">
        <v>7.2773361658629021E-2</v>
      </c>
      <c r="CA16" s="70">
        <v>1.2733575045844603</v>
      </c>
      <c r="CB16" s="70">
        <v>0.33882598072951797</v>
      </c>
      <c r="CC16" s="70">
        <v>6.7732259752539825E-2</v>
      </c>
      <c r="CD16" s="70">
        <v>-0.41672115003252852</v>
      </c>
      <c r="CE16" s="70">
        <v>0</v>
      </c>
      <c r="CF16" s="70">
        <v>0</v>
      </c>
      <c r="CG16" s="70">
        <v>0.99415231079966748</v>
      </c>
      <c r="CH16" s="70">
        <v>-0.37964941334113211</v>
      </c>
      <c r="CI16" s="70">
        <v>0.57817468544505424</v>
      </c>
      <c r="CJ16" s="70">
        <v>-0.67430404862861559</v>
      </c>
      <c r="CK16" s="70">
        <v>0</v>
      </c>
      <c r="CL16" s="70">
        <v>-0.13612416838522101</v>
      </c>
      <c r="CM16" s="70">
        <v>0.79226036971120628</v>
      </c>
      <c r="CN16" s="70">
        <v>-0.75448896372438679</v>
      </c>
      <c r="CO16" s="70">
        <v>0</v>
      </c>
      <c r="CP16" s="70">
        <v>0</v>
      </c>
      <c r="CQ16" s="70">
        <v>0.57329234811569485</v>
      </c>
      <c r="CR16" s="70">
        <v>-0.12076552024509191</v>
      </c>
      <c r="CS16" s="70">
        <v>0</v>
      </c>
      <c r="CT16" s="70">
        <v>-2.2204460492503131E-14</v>
      </c>
      <c r="CU16" s="70">
        <v>0.45227690215634553</v>
      </c>
      <c r="CV16" s="70">
        <v>0</v>
      </c>
      <c r="CW16" s="70">
        <v>0</v>
      </c>
      <c r="CX16" s="70">
        <v>0</v>
      </c>
      <c r="CY16" s="70">
        <v>-0.1350426983963815</v>
      </c>
      <c r="CZ16" s="70">
        <v>0</v>
      </c>
      <c r="DA16" s="70">
        <v>8.7499688028636058E-2</v>
      </c>
      <c r="DB16" s="70">
        <v>-0.40400757003531407</v>
      </c>
      <c r="DC16" s="70">
        <v>-0.36762322858402419</v>
      </c>
      <c r="DD16" s="70">
        <v>0.40033734552544775</v>
      </c>
      <c r="DE16" s="70">
        <v>0.26390084843177508</v>
      </c>
      <c r="DF16" s="70">
        <v>0</v>
      </c>
      <c r="DG16" s="46"/>
      <c r="DH16" s="46"/>
      <c r="DI16" s="46"/>
    </row>
    <row r="17" spans="1:113" ht="15.5" x14ac:dyDescent="0.35">
      <c r="A17" s="88"/>
      <c r="B17" s="80">
        <v>110</v>
      </c>
      <c r="C17" s="80" t="s">
        <v>81</v>
      </c>
      <c r="D17" s="13" t="s">
        <v>74</v>
      </c>
      <c r="E17" s="33">
        <f>VLOOKUP(C17,[1]CLASSI_EAI!A:G,7,FALSE)</f>
        <v>19.781824999422501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-1.1432953250602673</v>
      </c>
      <c r="AD17" s="13">
        <v>0</v>
      </c>
      <c r="AE17" s="13">
        <v>0</v>
      </c>
      <c r="AF17" s="13">
        <v>0</v>
      </c>
      <c r="AG17" s="13">
        <v>-0.56343259234808984</v>
      </c>
      <c r="AH17" s="13">
        <v>0</v>
      </c>
      <c r="AI17" s="13">
        <v>0</v>
      </c>
      <c r="AJ17" s="13">
        <v>-1.9492291862081457</v>
      </c>
      <c r="AK17" s="13">
        <v>0</v>
      </c>
      <c r="AL17" s="13">
        <v>0</v>
      </c>
      <c r="AM17" s="13">
        <v>1.4730496115832548</v>
      </c>
      <c r="AN17" s="13">
        <v>0</v>
      </c>
      <c r="AO17" s="13">
        <v>0</v>
      </c>
      <c r="AP17" s="13">
        <v>-5.0543323133751317</v>
      </c>
      <c r="AQ17" s="13">
        <v>0</v>
      </c>
      <c r="AR17" s="13">
        <v>6.3467775500500645</v>
      </c>
      <c r="AS17" s="13">
        <v>-1.331502834835363</v>
      </c>
      <c r="AT17" s="13">
        <v>0</v>
      </c>
      <c r="AU17" s="13">
        <v>0</v>
      </c>
      <c r="AV17" s="13">
        <v>2.6046645932608081</v>
      </c>
      <c r="AW17" s="13">
        <v>-2.8225918239921821</v>
      </c>
      <c r="AX17" s="13">
        <v>0</v>
      </c>
      <c r="AY17" s="13">
        <v>-3.9229767556104966</v>
      </c>
      <c r="AZ17" s="13">
        <v>0</v>
      </c>
      <c r="BA17" s="13">
        <v>0</v>
      </c>
      <c r="BB17" s="13">
        <v>0</v>
      </c>
      <c r="BC17" s="13">
        <v>0</v>
      </c>
      <c r="BD17" s="13">
        <v>1.3494710805278753</v>
      </c>
      <c r="BE17" s="13">
        <v>-4.2880757865667913</v>
      </c>
      <c r="BF17" s="13">
        <v>-2.5062559323048017</v>
      </c>
      <c r="BG17" s="13">
        <v>0.55066694234229274</v>
      </c>
      <c r="BH17" s="13">
        <v>0</v>
      </c>
      <c r="BI17" s="13">
        <v>-0.46530514643183807</v>
      </c>
      <c r="BJ17" s="13">
        <v>-0.3649089872336031</v>
      </c>
      <c r="BK17" s="13">
        <v>0</v>
      </c>
      <c r="BL17" s="13">
        <v>-0.62174229225713251</v>
      </c>
      <c r="BM17" s="13">
        <v>0</v>
      </c>
      <c r="BN17" s="13">
        <v>0.34045085306841916</v>
      </c>
      <c r="BO17" s="13">
        <v>3.781211778252791</v>
      </c>
      <c r="BP17" s="13">
        <v>1.7628190501283392</v>
      </c>
      <c r="BQ17" s="13">
        <v>2.8865249469441912</v>
      </c>
      <c r="BR17" s="13">
        <v>1.1520503397580706</v>
      </c>
      <c r="BS17" s="13">
        <v>0</v>
      </c>
      <c r="BT17" s="13">
        <v>-7.2466813506366634E-2</v>
      </c>
      <c r="BU17" s="13">
        <v>0</v>
      </c>
      <c r="BV17" s="13">
        <v>0</v>
      </c>
      <c r="BW17" s="13">
        <v>1.4869179857310622</v>
      </c>
      <c r="BX17" s="13">
        <v>0.39986071929094535</v>
      </c>
      <c r="BY17" s="13">
        <v>-0.30698004266525025</v>
      </c>
      <c r="BZ17" s="13">
        <v>0.30792531191914385</v>
      </c>
      <c r="CA17" s="13">
        <v>1.920269768271754</v>
      </c>
      <c r="CB17" s="13">
        <v>1.4212320373525378</v>
      </c>
      <c r="CC17" s="13">
        <v>0.28107614159789129</v>
      </c>
      <c r="CD17" s="13">
        <v>-1.7256353668059665</v>
      </c>
      <c r="CE17" s="13">
        <v>0</v>
      </c>
      <c r="CF17" s="13">
        <v>0</v>
      </c>
      <c r="CG17" s="13">
        <v>0.30792531191914385</v>
      </c>
      <c r="CH17" s="13">
        <v>-1.6039594349491537</v>
      </c>
      <c r="CI17" s="13">
        <v>-0.37922439751659764</v>
      </c>
      <c r="CJ17" s="13">
        <v>-0.165325426664098</v>
      </c>
      <c r="CK17" s="13">
        <v>0</v>
      </c>
      <c r="CL17" s="13">
        <v>-0.5848579141682908</v>
      </c>
      <c r="CM17" s="13">
        <v>0</v>
      </c>
      <c r="CN17" s="13">
        <v>0</v>
      </c>
      <c r="CO17" s="13">
        <v>0</v>
      </c>
      <c r="CP17" s="13">
        <v>0</v>
      </c>
      <c r="CQ17" s="13">
        <v>0.58829862523692711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-0.5848579141682908</v>
      </c>
      <c r="CZ17" s="13">
        <v>0</v>
      </c>
      <c r="DA17" s="13">
        <v>0.38066798338312058</v>
      </c>
      <c r="DB17" s="13">
        <v>-1.7525043648961791</v>
      </c>
      <c r="DC17" s="13">
        <v>-1.61656408201728</v>
      </c>
      <c r="DD17" s="13">
        <v>1.7827670166429721</v>
      </c>
      <c r="DE17" s="13">
        <v>1.1592315448517798</v>
      </c>
      <c r="DF17" s="13">
        <v>0</v>
      </c>
    </row>
    <row r="18" spans="1:113" ht="15.5" x14ac:dyDescent="0.35">
      <c r="A18" s="88"/>
      <c r="C18" s="80" t="s">
        <v>82</v>
      </c>
      <c r="D18" s="13" t="s">
        <v>83</v>
      </c>
      <c r="E18" s="33">
        <f>VLOOKUP(C18,[1]CLASSI_EAI!A:G,7,FALSE)</f>
        <v>0.50833952855763298</v>
      </c>
      <c r="F18" s="13">
        <v>-0.25995450536244746</v>
      </c>
      <c r="G18" s="13">
        <v>1.0248838981645747</v>
      </c>
      <c r="H18" s="13">
        <v>0.44960942573855078</v>
      </c>
      <c r="I18" s="13">
        <v>0.68173827359807593</v>
      </c>
      <c r="J18" s="13">
        <v>-0.48818901378621105</v>
      </c>
      <c r="K18" s="13">
        <v>2.3301771072503641E-2</v>
      </c>
      <c r="L18" s="13">
        <v>0.21584548010329385</v>
      </c>
      <c r="M18" s="13">
        <v>0.73331357531167818</v>
      </c>
      <c r="N18" s="13">
        <v>0.43600916344816998</v>
      </c>
      <c r="O18" s="13">
        <v>0.36563991751472624</v>
      </c>
      <c r="P18" s="13">
        <v>0.39919637832217525</v>
      </c>
      <c r="Q18" s="13">
        <v>-0.63863736180970188</v>
      </c>
      <c r="R18" s="13">
        <v>5.7791473873525234E-2</v>
      </c>
      <c r="S18" s="13">
        <v>-0.26489714299895439</v>
      </c>
      <c r="T18" s="13">
        <v>0.43768204638747754</v>
      </c>
      <c r="U18" s="13">
        <v>-0.26609182572632228</v>
      </c>
      <c r="V18" s="13">
        <v>1.0578420348308359</v>
      </c>
      <c r="W18" s="13">
        <v>0.32137935352638536</v>
      </c>
      <c r="X18" s="13">
        <v>4.548635712480209E-2</v>
      </c>
      <c r="Y18" s="13">
        <v>-0.7214278856804146</v>
      </c>
      <c r="Z18" s="13">
        <v>-0.44261990708640564</v>
      </c>
      <c r="AA18" s="13">
        <v>-1.4987737742345741</v>
      </c>
      <c r="AB18" s="13">
        <v>0.28456104499636758</v>
      </c>
      <c r="AC18" s="13">
        <v>-8.9431734015765763E-2</v>
      </c>
      <c r="AD18" s="13">
        <v>-0.21961803842821537</v>
      </c>
      <c r="AE18" s="13">
        <v>0.11446993994752575</v>
      </c>
      <c r="AF18" s="13">
        <v>-0.15465002253287619</v>
      </c>
      <c r="AG18" s="13">
        <v>-0.15408245249554087</v>
      </c>
      <c r="AH18" s="13">
        <v>-0.20482362787528352</v>
      </c>
      <c r="AI18" s="13">
        <v>-0.98298191522235845</v>
      </c>
      <c r="AJ18" s="13">
        <v>0.2533683877149473</v>
      </c>
      <c r="AK18" s="13">
        <v>-0.1705564480082411</v>
      </c>
      <c r="AL18" s="13">
        <v>0.32236498461757357</v>
      </c>
      <c r="AM18" s="13">
        <v>5.4336460529458286E-2</v>
      </c>
      <c r="AN18" s="13">
        <v>0.87347722136035255</v>
      </c>
      <c r="AO18" s="13">
        <v>0.12261213029787221</v>
      </c>
      <c r="AP18" s="13">
        <v>0.38027906029556302</v>
      </c>
      <c r="AQ18" s="13">
        <v>-0.13593024268845344</v>
      </c>
      <c r="AR18" s="13">
        <v>-0.59420576949215098</v>
      </c>
      <c r="AS18" s="13">
        <v>0.85732920926751</v>
      </c>
      <c r="AT18" s="13">
        <v>0.44212289714389286</v>
      </c>
      <c r="AU18" s="13">
        <v>0.18241564072609684</v>
      </c>
      <c r="AV18" s="13">
        <v>0.24932504443204717</v>
      </c>
      <c r="AW18" s="13">
        <v>-0.36400571164980633</v>
      </c>
      <c r="AX18" s="13">
        <v>0.70455839328564807</v>
      </c>
      <c r="AY18" s="13">
        <v>0.33252670020516018</v>
      </c>
      <c r="AZ18" s="13">
        <v>0.5209344932020521</v>
      </c>
      <c r="BA18" s="13">
        <v>-0.58630087147437671</v>
      </c>
      <c r="BB18" s="13">
        <v>0.63463872597671056</v>
      </c>
      <c r="BC18" s="13">
        <v>-1.0016499609477925</v>
      </c>
      <c r="BD18" s="13">
        <v>-4.0203733601296143E-2</v>
      </c>
      <c r="BE18" s="13">
        <v>0.16740451309784632</v>
      </c>
      <c r="BF18" s="13">
        <v>1.2877265051696618</v>
      </c>
      <c r="BG18" s="13">
        <v>1.847710115583312</v>
      </c>
      <c r="BH18" s="13">
        <v>-0.66443504354263272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5.5973362317920827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</row>
    <row r="19" spans="1:113" ht="15.5" x14ac:dyDescent="0.35">
      <c r="A19" s="88"/>
      <c r="C19" s="80" t="s">
        <v>85</v>
      </c>
      <c r="D19" s="13" t="s">
        <v>77</v>
      </c>
      <c r="E19" s="33">
        <f>VLOOKUP(C19,[1]CLASSI_EAI!A:G,7,FALSE)</f>
        <v>41.148818960555197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1.9348384656127537</v>
      </c>
      <c r="T19" s="13">
        <v>0.44004772419461435</v>
      </c>
      <c r="U19" s="13">
        <v>0</v>
      </c>
      <c r="V19" s="13">
        <v>0</v>
      </c>
      <c r="W19" s="13">
        <v>8.2876633027035176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1.299136822423641</v>
      </c>
      <c r="BF19" s="13">
        <v>0</v>
      </c>
      <c r="BG19" s="13">
        <v>0</v>
      </c>
      <c r="BH19" s="13">
        <v>-0.51667518690535763</v>
      </c>
      <c r="BI19" s="13">
        <v>0</v>
      </c>
      <c r="BJ19" s="13">
        <v>0</v>
      </c>
      <c r="BK19" s="13">
        <v>0.26652643172826451</v>
      </c>
      <c r="BL19" s="13">
        <v>3.5604152417787027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1.6627840632134072</v>
      </c>
      <c r="BT19" s="13">
        <v>2.2204460492503131E-14</v>
      </c>
      <c r="BU19" s="13">
        <v>0.8669427970761534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1.3705695233559467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1.5402261453115962</v>
      </c>
      <c r="CH19" s="13">
        <v>0</v>
      </c>
      <c r="CI19" s="13">
        <v>1.1052393972712293</v>
      </c>
      <c r="CJ19" s="13">
        <v>-1.0486764000462112</v>
      </c>
      <c r="CK19" s="13">
        <v>0</v>
      </c>
      <c r="CL19" s="13">
        <v>0</v>
      </c>
      <c r="CM19" s="13">
        <v>1.3094420718323452</v>
      </c>
      <c r="CN19" s="13">
        <v>-1.2406478033581525</v>
      </c>
      <c r="CO19" s="13">
        <v>0</v>
      </c>
      <c r="CP19" s="13">
        <v>0</v>
      </c>
      <c r="CQ19" s="13">
        <v>0.80041940002602008</v>
      </c>
      <c r="CR19" s="13">
        <v>-0.19910929932875909</v>
      </c>
      <c r="CS19" s="13">
        <v>0</v>
      </c>
      <c r="CT19" s="13">
        <v>-1.1102230246251565E-14</v>
      </c>
      <c r="CU19" s="13">
        <v>0.74626622086926275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</row>
    <row r="20" spans="1:113" ht="15.5" x14ac:dyDescent="0.35">
      <c r="A20" s="88"/>
      <c r="C20" s="80" t="s">
        <v>87</v>
      </c>
      <c r="D20" s="13" t="s">
        <v>88</v>
      </c>
      <c r="E20" s="33">
        <f>VLOOKUP(C20,[1]CLASSI_EAI!A:G,7,FALSE)</f>
        <v>12.7922359592896</v>
      </c>
      <c r="F20" s="13">
        <v>0</v>
      </c>
      <c r="G20" s="13">
        <v>0</v>
      </c>
      <c r="H20" s="13">
        <v>1.3589747832830179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-7.0622525979124884E-2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0.64978671175550673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-1.0977228333125422</v>
      </c>
      <c r="AB20" s="13">
        <v>0</v>
      </c>
      <c r="AC20" s="13">
        <v>0</v>
      </c>
      <c r="AD20" s="13">
        <v>0</v>
      </c>
      <c r="AE20" s="13">
        <v>0</v>
      </c>
      <c r="AF20" s="13">
        <v>-0.73976907663230174</v>
      </c>
      <c r="AG20" s="13">
        <v>0</v>
      </c>
      <c r="AH20" s="13">
        <v>-0.45690760247614204</v>
      </c>
      <c r="AI20" s="13">
        <v>0.62183613702591067</v>
      </c>
      <c r="AJ20" s="13">
        <v>-0.35274115328000066</v>
      </c>
      <c r="AK20" s="13">
        <v>0</v>
      </c>
      <c r="AL20" s="13">
        <v>1.6358750127573263</v>
      </c>
      <c r="AM20" s="13">
        <v>0</v>
      </c>
      <c r="AN20" s="13">
        <v>0</v>
      </c>
      <c r="AO20" s="13">
        <v>-0.4480945776152101</v>
      </c>
      <c r="AP20" s="13">
        <v>0</v>
      </c>
      <c r="AQ20" s="13">
        <v>0</v>
      </c>
      <c r="AR20" s="13">
        <v>-0.70661059993220032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1.0690582294977435</v>
      </c>
      <c r="BM20" s="13">
        <v>0</v>
      </c>
      <c r="BN20" s="13">
        <v>0</v>
      </c>
      <c r="BO20" s="13">
        <v>-0.17557937040149074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-0.42039128032199669</v>
      </c>
      <c r="BX20" s="13">
        <v>0</v>
      </c>
      <c r="BY20" s="13">
        <v>0.40629419673730016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-0.30285159672732709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</row>
    <row r="21" spans="1:113" ht="15.5" x14ac:dyDescent="0.35">
      <c r="A21" s="83">
        <v>12</v>
      </c>
      <c r="B21" s="83"/>
      <c r="C21" s="83"/>
      <c r="D21" s="45" t="s">
        <v>14</v>
      </c>
      <c r="E21" s="48">
        <f>E22</f>
        <v>9.4042110357968607</v>
      </c>
      <c r="F21" s="70">
        <v>1.8512842697390175</v>
      </c>
      <c r="G21" s="70">
        <v>4.1631631523553203E-2</v>
      </c>
      <c r="H21" s="70">
        <v>-5.6974114089014538E-2</v>
      </c>
      <c r="I21" s="70">
        <v>0.35100147995807962</v>
      </c>
      <c r="J21" s="70">
        <v>8.6122622548145955E-3</v>
      </c>
      <c r="K21" s="70">
        <v>-0.14301512227391511</v>
      </c>
      <c r="L21" s="70">
        <v>0.15422696592126695</v>
      </c>
      <c r="M21" s="70">
        <v>-2.2807085825693463E-2</v>
      </c>
      <c r="N21" s="70">
        <v>0.20630607053484518</v>
      </c>
      <c r="O21" s="70">
        <v>0.336921695724679</v>
      </c>
      <c r="P21" s="70">
        <v>0.26615671164822441</v>
      </c>
      <c r="Q21" s="70">
        <v>1.0062513064314382</v>
      </c>
      <c r="R21" s="70">
        <v>-0.69958764414165264</v>
      </c>
      <c r="S21" s="70">
        <v>-0.27472464433839772</v>
      </c>
      <c r="T21" s="70">
        <v>0.63188649672318853</v>
      </c>
      <c r="U21" s="70">
        <v>-0.19949976493394139</v>
      </c>
      <c r="V21" s="70">
        <v>-0.33823171622228143</v>
      </c>
      <c r="W21" s="70">
        <v>-0.22910795539573536</v>
      </c>
      <c r="X21" s="70">
        <v>-0.10504922680834028</v>
      </c>
      <c r="Y21" s="70">
        <v>-0.26666244182358412</v>
      </c>
      <c r="Z21" s="70">
        <v>0.30128269052467349</v>
      </c>
      <c r="AA21" s="70">
        <v>0.2761092089056616</v>
      </c>
      <c r="AB21" s="70">
        <v>0.2549357065173341</v>
      </c>
      <c r="AC21" s="70">
        <v>-0.32540394125259997</v>
      </c>
      <c r="AD21" s="70">
        <v>-0.29137690033486097</v>
      </c>
      <c r="AE21" s="70">
        <v>-2.4832376337757811E-2</v>
      </c>
      <c r="AF21" s="70">
        <v>-0.16485155223029402</v>
      </c>
      <c r="AG21" s="70">
        <v>1.1180968198878594</v>
      </c>
      <c r="AH21" s="70">
        <v>1.1149771133944775E-2</v>
      </c>
      <c r="AI21" s="70">
        <v>-0.18934874229546983</v>
      </c>
      <c r="AJ21" s="70">
        <v>3.9091971771498812E-2</v>
      </c>
      <c r="AK21" s="70">
        <v>-3.5749892967329444E-2</v>
      </c>
      <c r="AL21" s="70">
        <v>0.86338817766393738</v>
      </c>
      <c r="AM21" s="70">
        <v>0.11330237004649746</v>
      </c>
      <c r="AN21" s="70">
        <v>5.0282566335968504E-2</v>
      </c>
      <c r="AO21" s="70">
        <v>-0.4727227249279542</v>
      </c>
      <c r="AP21" s="70">
        <v>-0.30777673224750002</v>
      </c>
      <c r="AQ21" s="70">
        <v>-0.23464552600961364</v>
      </c>
      <c r="AR21" s="70">
        <v>0.15890911090234994</v>
      </c>
      <c r="AS21" s="70">
        <v>0.22348815477897244</v>
      </c>
      <c r="AT21" s="70">
        <v>-8.2862136567940503E-2</v>
      </c>
      <c r="AU21" s="70">
        <v>-0.39804358281624319</v>
      </c>
      <c r="AV21" s="70">
        <v>0.22695107092620681</v>
      </c>
      <c r="AW21" s="70">
        <v>-0.21942962383570963</v>
      </c>
      <c r="AX21" s="70">
        <v>-4.0429588989721044E-2</v>
      </c>
      <c r="AY21" s="70">
        <v>-0.3613822456513982</v>
      </c>
      <c r="AZ21" s="70">
        <v>-0.65297603146271532</v>
      </c>
      <c r="BA21" s="70">
        <v>-0.11680041605089952</v>
      </c>
      <c r="BB21" s="70">
        <v>0.11241989966075394</v>
      </c>
      <c r="BC21" s="70">
        <v>-0.14348263277647044</v>
      </c>
      <c r="BD21" s="70">
        <v>-6.0402020649430455E-2</v>
      </c>
      <c r="BE21" s="70">
        <v>0.463403544309271</v>
      </c>
      <c r="BF21" s="70">
        <v>-0.26532198403693696</v>
      </c>
      <c r="BG21" s="70">
        <v>3.2531368097399316E-2</v>
      </c>
      <c r="BH21" s="70">
        <v>-0.24586017543721805</v>
      </c>
      <c r="BI21" s="70">
        <v>-0.13551305209357212</v>
      </c>
      <c r="BJ21" s="70">
        <v>0.70947331801898272</v>
      </c>
      <c r="BK21" s="70">
        <v>-0.45132156835409054</v>
      </c>
      <c r="BL21" s="70">
        <v>0.85495145182132859</v>
      </c>
      <c r="BM21" s="70">
        <v>1.0380046992980896</v>
      </c>
      <c r="BN21" s="70">
        <v>0.39172622520402545</v>
      </c>
      <c r="BO21" s="70">
        <v>0.35790896730503174</v>
      </c>
      <c r="BP21" s="70">
        <v>-6.1989811831197894E-2</v>
      </c>
      <c r="BQ21" s="70">
        <v>-2.6660559311575405E-2</v>
      </c>
      <c r="BR21" s="70">
        <v>-0.5439890527418223</v>
      </c>
      <c r="BS21" s="70">
        <v>-0.61876867845059857</v>
      </c>
      <c r="BT21" s="70">
        <v>2.4853617072917444E-2</v>
      </c>
      <c r="BU21" s="70">
        <v>-7.1297159707495172E-2</v>
      </c>
      <c r="BV21" s="70">
        <v>0.52897253563521929</v>
      </c>
      <c r="BW21" s="70">
        <v>1.16104073016432E-2</v>
      </c>
      <c r="BX21" s="70">
        <v>-0.14494794424628754</v>
      </c>
      <c r="BY21" s="70">
        <v>-0.1949207596744551</v>
      </c>
      <c r="BZ21" s="70">
        <v>-0.42032899855770633</v>
      </c>
      <c r="CA21" s="70">
        <v>0.2533078800377675</v>
      </c>
      <c r="CB21" s="70">
        <v>0.43987813996573255</v>
      </c>
      <c r="CC21" s="70">
        <v>0.15678905129514753</v>
      </c>
      <c r="CD21" s="70">
        <v>0.23376798140501975</v>
      </c>
      <c r="CE21" s="70">
        <v>-1.2098958102646495E-2</v>
      </c>
      <c r="CF21" s="70">
        <v>0.21446018239061893</v>
      </c>
      <c r="CG21" s="70">
        <v>0.59698533104555196</v>
      </c>
      <c r="CH21" s="70">
        <v>0.19060499701948341</v>
      </c>
      <c r="CI21" s="70">
        <v>-0.62934922187207754</v>
      </c>
      <c r="CJ21" s="70">
        <v>-0.2735636618319548</v>
      </c>
      <c r="CK21" s="70">
        <v>-0.39021426430068118</v>
      </c>
      <c r="CL21" s="70">
        <v>-0.36905984545084758</v>
      </c>
      <c r="CM21" s="70">
        <v>0.15978392212767645</v>
      </c>
      <c r="CN21" s="70">
        <v>-0.11053537237979416</v>
      </c>
      <c r="CO21" s="70">
        <v>-0.39121103372616872</v>
      </c>
      <c r="CP21" s="70">
        <v>9.73397474530735E-2</v>
      </c>
      <c r="CQ21" s="70">
        <v>-0.13216000146597517</v>
      </c>
      <c r="CR21" s="70">
        <v>0.22580633145730111</v>
      </c>
      <c r="CS21" s="70">
        <v>-0.10172794775971106</v>
      </c>
      <c r="CT21" s="70">
        <v>-8.933572356836228E-2</v>
      </c>
      <c r="CU21" s="70">
        <v>-10.895982259774861</v>
      </c>
      <c r="CV21" s="70">
        <v>-0.14750737137477765</v>
      </c>
      <c r="CW21" s="70">
        <v>-0.43581896312755442</v>
      </c>
      <c r="CX21" s="70">
        <v>-0.17847872671199472</v>
      </c>
      <c r="CY21" s="70">
        <v>-0.25294450285918701</v>
      </c>
      <c r="CZ21" s="70">
        <v>-0.63296783976473092</v>
      </c>
      <c r="DA21" s="70">
        <v>-0.50299905929560573</v>
      </c>
      <c r="DB21" s="70">
        <v>1.2729128275300816</v>
      </c>
      <c r="DC21" s="70">
        <v>2.046733121118649</v>
      </c>
      <c r="DD21" s="70">
        <v>-0.14655909565381986</v>
      </c>
      <c r="DE21" s="70">
        <v>-3.5148979897540733</v>
      </c>
      <c r="DF21" s="70">
        <v>1.7951602671088862</v>
      </c>
      <c r="DG21" s="46"/>
      <c r="DH21" s="46"/>
      <c r="DI21" s="46"/>
    </row>
    <row r="22" spans="1:113" ht="15.5" x14ac:dyDescent="0.35">
      <c r="A22" s="88"/>
      <c r="B22" s="80">
        <v>120</v>
      </c>
      <c r="C22" s="80" t="s">
        <v>89</v>
      </c>
      <c r="D22" s="13" t="s">
        <v>90</v>
      </c>
      <c r="E22" s="33">
        <f>VLOOKUP(C22,[1]CLASSI_EAI!A:G,7,FALSE)</f>
        <v>9.4042110357968607</v>
      </c>
      <c r="F22" s="13">
        <v>1.8512842697390175</v>
      </c>
      <c r="G22" s="13">
       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3">
        <v>-0.14301512227391511</v>
      </c>
      <c r="L22" s="13">
        <v>0.15422696592126695</v>
      </c>
      <c r="M22" s="13">
        <v>-2.2807085825693463E-2</v>
      </c>
      <c r="N22" s="13">
        <v>0.20630607053484518</v>
      </c>
      <c r="O22" s="13">
        <v>0.336921695724679</v>
      </c>
      <c r="P22" s="13">
        <v>0.26615671164822441</v>
      </c>
      <c r="Q22" s="13">
        <v>1.0062513064314382</v>
      </c>
      <c r="R22" s="13">
        <v>-0.69958764414165264</v>
      </c>
      <c r="S22" s="13">
        <v>-0.27472464433839772</v>
      </c>
      <c r="T22" s="13">
        <v>0.63188649672318853</v>
      </c>
      <c r="U22" s="13">
        <v>-0.19949976493394139</v>
      </c>
      <c r="V22" s="13">
        <v>-0.33823171622228143</v>
      </c>
      <c r="W22" s="13">
        <v>-0.22910795539573536</v>
      </c>
      <c r="X22" s="13">
        <v>-0.10504922680834028</v>
      </c>
      <c r="Y22" s="13">
        <v>-0.26666244182358412</v>
      </c>
      <c r="Z22" s="13">
        <v>0.30128269052467349</v>
      </c>
      <c r="AA22" s="13">
        <v>0.2761092089056616</v>
      </c>
      <c r="AB22" s="13">
        <v>0.2549357065173341</v>
      </c>
      <c r="AC22" s="13">
        <v>-0.32540394125259997</v>
      </c>
      <c r="AD22" s="13">
        <v>-0.29137690033486097</v>
      </c>
      <c r="AE22" s="13">
        <v>-2.4832376337757811E-2</v>
      </c>
      <c r="AF22" s="13">
        <v>-0.16485155223029402</v>
      </c>
      <c r="AG22" s="13">
        <v>1.1180968198878594</v>
      </c>
      <c r="AH22" s="13">
        <v>1.1149771133944775E-2</v>
      </c>
      <c r="AI22" s="13">
        <v>-0.18934874229546983</v>
      </c>
      <c r="AJ22" s="13">
        <v>3.9091971771498812E-2</v>
      </c>
      <c r="AK22" s="13">
        <v>-3.5749892967329444E-2</v>
      </c>
      <c r="AL22" s="13">
        <v>0.86338817766393738</v>
      </c>
      <c r="AM22" s="13">
        <v>0.11330237004649746</v>
      </c>
      <c r="AN22" s="13">
        <v>5.0282566335968504E-2</v>
      </c>
      <c r="AO22" s="13">
        <v>-0.4727227249279542</v>
      </c>
      <c r="AP22" s="13">
        <v>-0.30777673224750002</v>
      </c>
      <c r="AQ22" s="13">
        <v>-0.23464552600961364</v>
      </c>
      <c r="AR22" s="13">
        <v>0.15890911090234994</v>
      </c>
      <c r="AS22" s="13">
        <v>0.22348815477897244</v>
      </c>
      <c r="AT22" s="13">
        <v>-8.2862136567940503E-2</v>
      </c>
      <c r="AU22" s="13">
        <v>-0.39804358281624319</v>
      </c>
      <c r="AV22" s="13">
        <v>0.22695107092620681</v>
      </c>
      <c r="AW22" s="13">
        <v>-0.21942962383570963</v>
      </c>
      <c r="AX22" s="13">
        <v>-4.0429588989721044E-2</v>
      </c>
      <c r="AY22" s="13">
        <v>-0.3613822456513982</v>
      </c>
      <c r="AZ22" s="13">
        <v>-0.65297603146271532</v>
      </c>
      <c r="BA22" s="13">
        <v>-0.11680041605089952</v>
      </c>
      <c r="BB22" s="13">
        <v>0.11241989966075394</v>
      </c>
      <c r="BC22" s="13">
        <v>-0.14348263277647044</v>
      </c>
      <c r="BD22" s="13">
        <v>-6.0402020649430455E-2</v>
      </c>
      <c r="BE22" s="13">
        <v>0.463403544309271</v>
      </c>
      <c r="BF22" s="13">
        <v>-0.26532198403693696</v>
      </c>
      <c r="BG22" s="13">
        <v>3.2531368097399316E-2</v>
      </c>
      <c r="BH22" s="13">
        <v>-0.24586017543721805</v>
      </c>
      <c r="BI22" s="13">
        <v>-0.13551305209357212</v>
      </c>
      <c r="BJ22" s="13">
        <v>0.70947331801898272</v>
      </c>
      <c r="BK22" s="13">
        <v>-0.45132156835409054</v>
      </c>
      <c r="BL22" s="13">
        <v>0.85495145182132859</v>
      </c>
      <c r="BM22" s="13">
        <v>1.0380046992980896</v>
      </c>
      <c r="BN22" s="13">
        <v>0.39172622520402545</v>
      </c>
      <c r="BO22" s="13">
        <v>0.35790896730503174</v>
      </c>
      <c r="BP22" s="13">
        <v>-6.1989811831197894E-2</v>
      </c>
      <c r="BQ22" s="13">
        <v>-2.6660559311575405E-2</v>
      </c>
      <c r="BR22" s="13">
        <v>-0.5439890527418223</v>
      </c>
      <c r="BS22" s="13">
        <v>-0.61876867845059857</v>
      </c>
      <c r="BT22" s="13">
        <v>2.4853617072917444E-2</v>
      </c>
      <c r="BU22" s="13">
        <v>-7.1297159707495172E-2</v>
      </c>
      <c r="BV22" s="13">
        <v>0.52897253563521929</v>
      </c>
      <c r="BW22" s="13">
        <v>1.16104073016432E-2</v>
      </c>
      <c r="BX22" s="13">
        <v>-0.14494794424628754</v>
      </c>
      <c r="BY22" s="13">
        <v>-0.1949207596744551</v>
      </c>
      <c r="BZ22" s="13">
        <v>-0.42032899855770633</v>
      </c>
      <c r="CA22" s="13">
        <v>0.2533078800377675</v>
      </c>
      <c r="CB22" s="13">
        <v>0.43987813996573255</v>
      </c>
      <c r="CC22" s="13">
        <v>0.15678905129514753</v>
      </c>
      <c r="CD22" s="13">
        <v>0.23376798140501975</v>
      </c>
      <c r="CE22" s="13">
        <v>-1.2098958102646495E-2</v>
      </c>
      <c r="CF22" s="13">
        <v>0.21446018239061893</v>
      </c>
      <c r="CG22" s="13">
        <v>0.59698533104555196</v>
      </c>
      <c r="CH22" s="13">
        <v>0.19060499701948341</v>
      </c>
      <c r="CI22" s="13">
        <v>-0.62934922187207754</v>
      </c>
      <c r="CJ22" s="13">
        <v>-0.2735636618319548</v>
      </c>
      <c r="CK22" s="13">
        <v>-0.39021426430068118</v>
      </c>
      <c r="CL22" s="13">
        <v>-0.36905984545084758</v>
      </c>
      <c r="CM22" s="13">
        <v>0.15978392212767645</v>
      </c>
      <c r="CN22" s="13">
        <v>-0.11053537237979416</v>
      </c>
      <c r="CO22" s="13">
        <v>-0.39121103372616872</v>
      </c>
      <c r="CP22" s="13">
        <v>9.73397474530735E-2</v>
      </c>
      <c r="CQ22" s="13">
        <v>-0.13216000146597517</v>
      </c>
      <c r="CR22" s="13">
        <v>0.22580633145730111</v>
      </c>
      <c r="CS22" s="13">
        <v>-0.10172794775971106</v>
      </c>
      <c r="CT22" s="13">
        <v>-8.933572356836228E-2</v>
      </c>
      <c r="CU22" s="13">
        <v>-10.895982259774861</v>
      </c>
      <c r="CV22" s="13">
        <v>-0.14750737137477765</v>
      </c>
      <c r="CW22" s="13">
        <v>-0.43581896312755442</v>
      </c>
      <c r="CX22" s="13">
        <v>-0.17847872671199472</v>
      </c>
      <c r="CY22" s="13">
        <v>-0.25294450285918701</v>
      </c>
      <c r="CZ22" s="13">
        <v>-0.63296783976473092</v>
      </c>
      <c r="DA22" s="13">
        <v>-0.50299905929560573</v>
      </c>
      <c r="DB22" s="13">
        <v>1.2729128275300816</v>
      </c>
      <c r="DC22" s="13">
        <v>2.046733121118649</v>
      </c>
      <c r="DD22" s="13">
        <v>-0.14655909565381986</v>
      </c>
      <c r="DE22" s="13">
        <v>-3.5148979897540733</v>
      </c>
      <c r="DF22" s="13">
        <v>1.7951602671088862</v>
      </c>
    </row>
    <row r="23" spans="1:113" ht="15.5" x14ac:dyDescent="0.35">
      <c r="A23" s="83">
        <v>13</v>
      </c>
      <c r="B23" s="83"/>
      <c r="C23" s="83"/>
      <c r="D23" s="45" t="s">
        <v>15</v>
      </c>
      <c r="E23" s="24">
        <f>E25+E24</f>
        <v>21.999441484290998</v>
      </c>
      <c r="F23" s="70">
        <v>0.82925750624622818</v>
      </c>
      <c r="G23" s="70">
        <v>0</v>
      </c>
      <c r="H23" s="70">
        <v>0.23248615402733375</v>
      </c>
      <c r="I23" s="70">
        <v>0</v>
      </c>
      <c r="J23" s="70">
        <v>0</v>
      </c>
      <c r="K23" s="70">
        <v>0</v>
      </c>
      <c r="L23" s="70">
        <v>0</v>
      </c>
      <c r="M23" s="70">
        <v>2.2327683994218805</v>
      </c>
      <c r="N23" s="70">
        <v>1.46908951392275</v>
      </c>
      <c r="O23" s="70">
        <v>0</v>
      </c>
      <c r="P23" s="70">
        <v>0</v>
      </c>
      <c r="Q23" s="70">
        <v>0.29678415233509448</v>
      </c>
      <c r="R23" s="70">
        <v>0</v>
      </c>
      <c r="S23" s="70">
        <v>0.13047760181803536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4.1103759700197973</v>
      </c>
      <c r="AA23" s="70">
        <v>0</v>
      </c>
      <c r="AB23" s="70">
        <v>0</v>
      </c>
      <c r="AC23" s="70">
        <v>0</v>
      </c>
      <c r="AD23" s="70">
        <v>0.93086603713756766</v>
      </c>
      <c r="AE23" s="70">
        <v>0</v>
      </c>
      <c r="AF23" s="70">
        <v>0</v>
      </c>
      <c r="AG23" s="70">
        <v>0</v>
      </c>
      <c r="AH23" s="70">
        <v>0</v>
      </c>
      <c r="AI23" s="70">
        <v>4.3119557951731835E-2</v>
      </c>
      <c r="AJ23" s="70">
        <v>0.76287379459851756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0.75337834474629162</v>
      </c>
      <c r="AT23" s="70">
        <v>0</v>
      </c>
      <c r="AU23" s="70">
        <v>3.1694529296029561</v>
      </c>
      <c r="AV23" s="70">
        <v>1.4985434712747825</v>
      </c>
      <c r="AW23" s="70">
        <v>0.21046200297749618</v>
      </c>
      <c r="AX23" s="70">
        <v>5.7361680216239108E-2</v>
      </c>
      <c r="AY23" s="70">
        <v>0</v>
      </c>
      <c r="AZ23" s="70">
        <v>0.12642184600690776</v>
      </c>
      <c r="BA23" s="70">
        <v>0</v>
      </c>
      <c r="BB23" s="70">
        <v>1.6594556760388235</v>
      </c>
      <c r="BC23" s="70">
        <v>0</v>
      </c>
      <c r="BD23" s="70">
        <v>0.11107989880829727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5.6747104113163971E-2</v>
      </c>
      <c r="BX23" s="70">
        <v>0.10839876194406184</v>
      </c>
      <c r="BY23" s="70">
        <v>0.10068050987914745</v>
      </c>
      <c r="BZ23" s="70">
        <v>0</v>
      </c>
      <c r="CA23" s="70">
        <v>0</v>
      </c>
      <c r="CB23" s="70">
        <v>0</v>
      </c>
      <c r="CC23" s="70">
        <v>0</v>
      </c>
      <c r="CD23" s="70">
        <v>0</v>
      </c>
      <c r="CE23" s="70">
        <v>0</v>
      </c>
      <c r="CF23" s="70">
        <v>0.25930104427587253</v>
      </c>
      <c r="CG23" s="70">
        <v>0</v>
      </c>
      <c r="CH23" s="70">
        <v>0</v>
      </c>
      <c r="CI23" s="70">
        <v>0</v>
      </c>
      <c r="CJ23" s="70">
        <v>1.5829439368065357</v>
      </c>
      <c r="CK23" s="70">
        <v>0.77962957733330729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70">
        <v>4.4857210697601957E-2</v>
      </c>
      <c r="CV23" s="70">
        <v>-0.6065580100741208</v>
      </c>
      <c r="CW23" s="70">
        <v>0</v>
      </c>
      <c r="CX23" s="70">
        <v>0</v>
      </c>
      <c r="CY23" s="70">
        <v>-5.7322365679335352E-2</v>
      </c>
      <c r="CZ23" s="70">
        <v>-9.3919494802974235E-3</v>
      </c>
      <c r="DA23" s="70">
        <v>0</v>
      </c>
      <c r="DB23" s="70">
        <v>1.1732978315537324E-2</v>
      </c>
      <c r="DC23" s="70">
        <v>0</v>
      </c>
      <c r="DD23" s="70">
        <v>0.11471283077970629</v>
      </c>
      <c r="DE23" s="70">
        <v>0</v>
      </c>
      <c r="DF23" s="70">
        <v>0</v>
      </c>
      <c r="DG23" s="46"/>
      <c r="DH23" s="46"/>
      <c r="DI23" s="46"/>
    </row>
    <row r="24" spans="1:113" ht="15.5" x14ac:dyDescent="0.35">
      <c r="A24" s="88"/>
      <c r="B24" s="80">
        <v>131</v>
      </c>
      <c r="C24" s="80">
        <v>1311</v>
      </c>
      <c r="D24" s="13" t="s">
        <v>84</v>
      </c>
      <c r="E24" s="33">
        <f>[1]CLASSI_EAI!G374</f>
        <v>11.5188009235262</v>
      </c>
      <c r="F24" s="13">
        <v>1.5810245494895403</v>
      </c>
      <c r="G24" s="13">
        <v>0</v>
      </c>
      <c r="H24" s="13">
        <v>0.43996717465148993</v>
      </c>
      <c r="I24" s="13">
        <v>0</v>
      </c>
      <c r="J24" s="13">
        <v>0</v>
      </c>
      <c r="K24" s="13">
        <v>0</v>
      </c>
      <c r="L24" s="13">
        <v>0</v>
      </c>
      <c r="M24" s="13">
        <v>0.30926044375561013</v>
      </c>
      <c r="N24" s="13">
        <v>0.21767721180441235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3.4032422262041839</v>
      </c>
      <c r="AA24" s="13">
        <v>0</v>
      </c>
      <c r="AB24" s="13">
        <v>0</v>
      </c>
      <c r="AC24" s="13">
        <v>0</v>
      </c>
      <c r="AD24" s="13">
        <v>1.8342730550078956</v>
      </c>
      <c r="AE24" s="13">
        <v>0</v>
      </c>
      <c r="AF24" s="13">
        <v>0</v>
      </c>
      <c r="AG24" s="13">
        <v>0</v>
      </c>
      <c r="AH24" s="13">
        <v>0</v>
      </c>
      <c r="AI24" s="13">
        <v>8.4213386733678064E-2</v>
      </c>
      <c r="AJ24" s="13">
        <v>0.57796219298418272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1.3531459632321274</v>
      </c>
      <c r="AT24" s="13">
        <v>0</v>
      </c>
      <c r="AU24" s="13">
        <v>5.3912060638570791</v>
      </c>
      <c r="AV24" s="13">
        <v>2.0388069546371401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</row>
    <row r="25" spans="1:113" ht="15.5" x14ac:dyDescent="0.35">
      <c r="A25" s="88"/>
      <c r="B25" s="80">
        <v>139</v>
      </c>
      <c r="C25" s="80" t="s">
        <v>93</v>
      </c>
      <c r="D25" s="13" t="s">
        <v>86</v>
      </c>
      <c r="E25" s="33">
        <f>VLOOKUP(C25,[1]CLASSI_EAI!A:G,7,FALSE)</f>
        <v>10.480640560764799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4.3975758124832787</v>
      </c>
      <c r="N25" s="13">
        <v>2.8223341486298681</v>
      </c>
      <c r="O25" s="13">
        <v>0</v>
      </c>
      <c r="P25" s="13">
        <v>0</v>
      </c>
      <c r="Q25" s="13">
        <v>0.6095889999946591</v>
      </c>
      <c r="R25" s="13">
        <v>0</v>
      </c>
      <c r="S25" s="13">
        <v>0.26716527762618014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4.8491918444145909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0.95706405016138252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0.12588025604389763</v>
      </c>
      <c r="AT25" s="13">
        <v>0</v>
      </c>
      <c r="AU25" s="13">
        <v>0.81648460519010424</v>
      </c>
      <c r="AV25" s="13">
        <v>0.90040915678026856</v>
      </c>
      <c r="AW25" s="13">
        <v>0.44609670415240998</v>
      </c>
      <c r="AX25" s="13">
        <v>0.12129898835566699</v>
      </c>
      <c r="AY25" s="13">
        <v>0</v>
      </c>
      <c r="AZ25" s="13">
        <v>0.26716527762618014</v>
      </c>
      <c r="BA25" s="13">
        <v>0</v>
      </c>
      <c r="BB25" s="13">
        <v>3.5019787204644492</v>
      </c>
      <c r="BC25" s="13">
        <v>0</v>
      </c>
      <c r="BD25" s="13">
        <v>0.23024088647782825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0.11748273519158747</v>
      </c>
      <c r="BX25" s="13">
        <v>0.22428029848204911</v>
      </c>
      <c r="BY25" s="13">
        <v>0.20807014903529986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0.53530705766646758</v>
      </c>
      <c r="CG25" s="13">
        <v>0</v>
      </c>
      <c r="CH25" s="13">
        <v>0</v>
      </c>
      <c r="CI25" s="13">
        <v>0</v>
      </c>
      <c r="CJ25" s="13">
        <v>3.2588944987263613</v>
      </c>
      <c r="CK25" s="13">
        <v>1.5790155174676634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9.0136172880739274E-2</v>
      </c>
      <c r="CV25" s="13">
        <v>-1.2182675609410665</v>
      </c>
      <c r="CW25" s="13">
        <v>0</v>
      </c>
      <c r="CX25" s="13">
        <v>0</v>
      </c>
      <c r="CY25" s="13">
        <v>-0.11584453088675506</v>
      </c>
      <c r="CZ25" s="13">
        <v>-1.8991600082729487E-2</v>
      </c>
      <c r="DA25" s="13">
        <v>0</v>
      </c>
      <c r="DB25" s="13">
        <v>2.3727707138099241E-2</v>
      </c>
      <c r="DC25" s="13">
        <v>0</v>
      </c>
      <c r="DD25" s="13">
        <v>0.23195696580708969</v>
      </c>
      <c r="DE25" s="13">
        <v>0</v>
      </c>
      <c r="DF25" s="13">
        <v>0</v>
      </c>
    </row>
    <row r="26" spans="1:113" ht="15.5" x14ac:dyDescent="0.35">
      <c r="A26" s="83">
        <v>14</v>
      </c>
      <c r="B26" s="83"/>
      <c r="C26" s="83"/>
      <c r="D26" s="45" t="s">
        <v>16</v>
      </c>
      <c r="E26" s="50">
        <f>E27</f>
        <v>17.7780236157529</v>
      </c>
      <c r="F26" s="70">
        <v>1.1834403024721052</v>
      </c>
      <c r="G26" s="70">
        <v>0</v>
      </c>
      <c r="H26" s="70">
        <v>0.32979423992309798</v>
      </c>
      <c r="I26" s="70">
        <v>0</v>
      </c>
      <c r="J26" s="70">
        <v>0</v>
      </c>
      <c r="K26" s="70">
        <v>0</v>
      </c>
      <c r="L26" s="70">
        <v>0</v>
      </c>
      <c r="M26" s="70">
        <v>0.80265729838580047</v>
      </c>
      <c r="N26" s="70">
        <v>0.49195699174571228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2.5417245776632624</v>
      </c>
      <c r="AA26" s="70">
        <v>0</v>
      </c>
      <c r="AB26" s="70">
        <v>0</v>
      </c>
      <c r="AC26" s="70">
        <v>0</v>
      </c>
      <c r="AD26" s="70">
        <v>1.372574380149727</v>
      </c>
      <c r="AE26" s="70">
        <v>0</v>
      </c>
      <c r="AF26" s="70">
        <v>0</v>
      </c>
      <c r="AG26" s="70">
        <v>0</v>
      </c>
      <c r="AH26" s="70">
        <v>0</v>
      </c>
      <c r="AI26" s="70">
        <v>6.3153393730996932E-2</v>
      </c>
      <c r="AJ26" s="70">
        <v>0.43315923366857856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1.0131525113391104</v>
      </c>
      <c r="AT26" s="70">
        <v>0</v>
      </c>
      <c r="AU26" s="70">
        <v>4.0167501721109389</v>
      </c>
      <c r="AV26" s="70">
        <v>1.7741641716338741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0.74114950338310948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0.38612023039570342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1.1911215130808284</v>
      </c>
      <c r="BO26" s="70">
        <v>0</v>
      </c>
      <c r="BP26" s="70">
        <v>2.7974168256615251</v>
      </c>
      <c r="BQ26" s="70">
        <v>0</v>
      </c>
      <c r="BR26" s="70">
        <v>0</v>
      </c>
      <c r="BS26" s="70">
        <v>0</v>
      </c>
      <c r="BT26" s="70">
        <v>1.4811552253343629</v>
      </c>
      <c r="BU26" s="70">
        <v>-0.54983974139151126</v>
      </c>
      <c r="BV26" s="70">
        <v>0</v>
      </c>
      <c r="BW26" s="70">
        <v>0</v>
      </c>
      <c r="BX26" s="70">
        <v>0</v>
      </c>
      <c r="BY26" s="70">
        <v>5.2647376863790285E-2</v>
      </c>
      <c r="BZ26" s="70">
        <v>0</v>
      </c>
      <c r="CA26" s="70">
        <v>0</v>
      </c>
      <c r="CB26" s="70">
        <v>0</v>
      </c>
      <c r="CC26" s="70">
        <v>0</v>
      </c>
      <c r="CD26" s="70">
        <v>0</v>
      </c>
      <c r="CE26" s="70">
        <v>0</v>
      </c>
      <c r="CF26" s="70">
        <v>0</v>
      </c>
      <c r="CG26" s="70">
        <v>0</v>
      </c>
      <c r="CH26" s="70">
        <v>-0.4547666825238994</v>
      </c>
      <c r="CI26" s="70">
        <v>0</v>
      </c>
      <c r="CJ26" s="70">
        <v>0</v>
      </c>
      <c r="CK26" s="70">
        <v>0</v>
      </c>
      <c r="CL26" s="70">
        <v>0</v>
      </c>
      <c r="CM26" s="70">
        <v>0.23855955106328874</v>
      </c>
      <c r="CN26" s="70">
        <v>-0.23799179889626432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70">
        <v>0</v>
      </c>
      <c r="CV26" s="70">
        <v>0</v>
      </c>
      <c r="CW26" s="70">
        <v>0.1021070801217272</v>
      </c>
      <c r="CX26" s="70">
        <v>-0.102002927910394</v>
      </c>
      <c r="CY26" s="70">
        <v>0</v>
      </c>
      <c r="CZ26" s="70">
        <v>0</v>
      </c>
      <c r="DA26" s="70">
        <v>0</v>
      </c>
      <c r="DB26" s="70">
        <v>0</v>
      </c>
      <c r="DC26" s="70">
        <v>0</v>
      </c>
      <c r="DD26" s="70">
        <v>0</v>
      </c>
      <c r="DE26" s="70">
        <v>-0.15144675802013507</v>
      </c>
      <c r="DF26" s="70">
        <v>0</v>
      </c>
      <c r="DG26" s="46"/>
      <c r="DH26" s="46"/>
      <c r="DI26" s="46"/>
    </row>
    <row r="27" spans="1:113" ht="15.5" x14ac:dyDescent="0.35">
      <c r="A27" s="88"/>
      <c r="B27" s="80">
        <v>141</v>
      </c>
      <c r="C27" s="80">
        <v>1410</v>
      </c>
      <c r="D27" s="13" t="s">
        <v>95</v>
      </c>
      <c r="E27" s="33">
        <f>[1]CLASSI_EAI!G413</f>
        <v>17.7780236157529</v>
      </c>
      <c r="F27" s="13">
        <v>1.1834403024721052</v>
      </c>
      <c r="G27" s="13">
        <v>0</v>
      </c>
      <c r="H27" s="13">
        <v>0.32979423992309798</v>
      </c>
      <c r="I27" s="13">
        <v>0</v>
      </c>
      <c r="J27" s="13">
        <v>0</v>
      </c>
      <c r="K27" s="13">
        <v>0</v>
      </c>
      <c r="L27" s="13">
        <v>0</v>
      </c>
      <c r="M27" s="13">
        <v>0.80265729838580047</v>
      </c>
      <c r="N27" s="13">
        <v>0.49195699174571228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2.5417245776632624</v>
      </c>
      <c r="AA27" s="13">
        <v>0</v>
      </c>
      <c r="AB27" s="13">
        <v>0</v>
      </c>
      <c r="AC27" s="13">
        <v>0</v>
      </c>
      <c r="AD27" s="13">
        <v>1.372574380149727</v>
      </c>
      <c r="AE27" s="13">
        <v>0</v>
      </c>
      <c r="AF27" s="13">
        <v>0</v>
      </c>
      <c r="AG27" s="13">
        <v>0</v>
      </c>
      <c r="AH27" s="13">
        <v>0</v>
      </c>
      <c r="AI27" s="13">
        <v>6.3153393730996932E-2</v>
      </c>
      <c r="AJ27" s="13">
        <v>0.43315923366857856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1.0131525113391104</v>
      </c>
      <c r="AT27" s="13">
        <v>0</v>
      </c>
      <c r="AU27" s="13">
        <v>4.0167501721109389</v>
      </c>
      <c r="AV27" s="13">
        <v>1.7741641716338741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0.74114950338310948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0.38612023039570342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1.1911215130808284</v>
      </c>
      <c r="BO27" s="13">
        <v>0</v>
      </c>
      <c r="BP27" s="13">
        <v>2.7974168256615251</v>
      </c>
      <c r="BQ27" s="13">
        <v>0</v>
      </c>
      <c r="BR27" s="13">
        <v>0</v>
      </c>
      <c r="BS27" s="13">
        <v>0</v>
      </c>
      <c r="BT27" s="13">
        <v>1.4811552253343629</v>
      </c>
      <c r="BU27" s="13">
        <v>-0.54983974139151126</v>
      </c>
      <c r="BV27" s="13">
        <v>0</v>
      </c>
      <c r="BW27" s="13">
        <v>0</v>
      </c>
      <c r="BX27" s="13">
        <v>0</v>
      </c>
      <c r="BY27" s="13">
        <v>5.2647376863790285E-2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-0.4547666825238994</v>
      </c>
      <c r="CI27" s="13">
        <v>0</v>
      </c>
      <c r="CJ27" s="13">
        <v>0</v>
      </c>
      <c r="CK27" s="13">
        <v>0</v>
      </c>
      <c r="CL27" s="13">
        <v>0</v>
      </c>
      <c r="CM27" s="13">
        <v>0.23855955106328874</v>
      </c>
      <c r="CN27" s="13">
        <v>-0.23799179889626432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0.1021070801217272</v>
      </c>
      <c r="CX27" s="13">
        <v>-0.102002927910394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-0.15144675802013507</v>
      </c>
      <c r="DF27" s="13">
        <v>0</v>
      </c>
    </row>
    <row r="28" spans="1:113" ht="15.5" x14ac:dyDescent="0.35">
      <c r="A28" s="83">
        <v>15</v>
      </c>
      <c r="B28" s="83"/>
      <c r="C28" s="83"/>
      <c r="D28" s="45" t="s">
        <v>17</v>
      </c>
      <c r="E28" s="50">
        <f>E29</f>
        <v>15.1431032759355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-6.0804397195157289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1.3894214014664508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3.1310306477545069</v>
      </c>
      <c r="BQ28" s="70">
        <v>0</v>
      </c>
      <c r="BR28" s="70">
        <v>0</v>
      </c>
      <c r="BS28" s="70">
        <v>5.9966114966831352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2.460742672003069</v>
      </c>
      <c r="CA28" s="70">
        <v>-1.3001741474257367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70">
        <v>0</v>
      </c>
      <c r="DG28" s="46"/>
      <c r="DH28" s="46"/>
      <c r="DI28" s="46"/>
    </row>
    <row r="29" spans="1:113" ht="15.5" x14ac:dyDescent="0.35">
      <c r="A29" s="88"/>
      <c r="B29" s="80">
        <v>152</v>
      </c>
      <c r="C29" s="80" t="s">
        <v>96</v>
      </c>
      <c r="D29" s="13" t="s">
        <v>97</v>
      </c>
      <c r="E29" s="33">
        <f>VLOOKUP(C29,[1]CLASSI_EAI!A:G,7,FALSE)</f>
        <v>15.1431032759355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-6.0804397195157289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1.3894214014664508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3.1310306477545069</v>
      </c>
      <c r="BQ29" s="13">
        <v>0</v>
      </c>
      <c r="BR29" s="13">
        <v>0</v>
      </c>
      <c r="BS29" s="13">
        <v>5.9966114966831352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2.460742672003069</v>
      </c>
      <c r="CA29" s="13">
        <v>-1.3001741474257367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</row>
    <row r="30" spans="1:113" ht="15.5" x14ac:dyDescent="0.35">
      <c r="A30" s="83">
        <v>16</v>
      </c>
      <c r="B30" s="83"/>
      <c r="C30" s="83"/>
      <c r="D30" s="45" t="s">
        <v>18</v>
      </c>
      <c r="E30" s="54">
        <f>E31</f>
        <v>2.6298326565708301</v>
      </c>
      <c r="F30" s="70">
        <v>1.7061413662244895E-2</v>
      </c>
      <c r="G30" s="70">
        <v>7.3454994093502535E-3</v>
      </c>
      <c r="H30" s="70">
        <v>-1.005661496588095E-2</v>
      </c>
      <c r="I30" s="70">
        <v>6.1852104197601676E-2</v>
      </c>
      <c r="J30" s="70">
        <v>-1.3746275367352623</v>
      </c>
      <c r="K30" s="70">
        <v>-1.8841906699345712</v>
      </c>
      <c r="L30" s="70">
        <v>-0.1216586606926362</v>
      </c>
      <c r="M30" s="70">
        <v>-1.9501020472719621</v>
      </c>
      <c r="N30" s="70">
        <v>0.18546951491384966</v>
      </c>
      <c r="O30" s="70">
        <v>1.1333149937412523</v>
      </c>
      <c r="P30" s="70">
        <v>4.6917439595195454E-2</v>
      </c>
      <c r="Q30" s="70">
        <v>1.837624720496267</v>
      </c>
      <c r="R30" s="70">
        <v>-0.12381379889390143</v>
      </c>
      <c r="S30" s="70">
        <v>-4.853575377845587E-2</v>
      </c>
      <c r="T30" s="70">
        <v>0.11122035654818063</v>
      </c>
      <c r="U30" s="70">
        <v>-3.5234796519245659E-2</v>
      </c>
      <c r="V30" s="70">
        <v>-5.9771249768014734E-2</v>
      </c>
      <c r="W30" s="70">
        <v>-4.0469010714394571E-2</v>
      </c>
      <c r="X30" s="70">
        <v>-1.8546122731788461E-2</v>
      </c>
      <c r="Y30" s="70">
        <v>-4.7109832675862329E-2</v>
      </c>
      <c r="Z30" s="70">
        <v>5.3101695802237892E-2</v>
      </c>
      <c r="AA30" s="70">
        <v>1.2659884433506408</v>
      </c>
      <c r="AB30" s="70">
        <v>4.4941500965367531E-2</v>
      </c>
      <c r="AC30" s="70">
        <v>-5.7501320103237052E-2</v>
      </c>
      <c r="AD30" s="70">
        <v>-5.1481254893237516E-2</v>
      </c>
      <c r="AE30" s="70">
        <v>-4.3826322097872961E-3</v>
      </c>
      <c r="AF30" s="70">
        <v>-2.9111217495525477E-2</v>
      </c>
      <c r="AG30" s="70">
        <v>-0.31176804507222489</v>
      </c>
      <c r="AH30" s="70">
        <v>1.9675163423826803E-3</v>
      </c>
      <c r="AI30" s="70">
        <v>-3.3440566273212902E-2</v>
      </c>
      <c r="AJ30" s="70">
        <v>6.8974730737192402E-3</v>
      </c>
      <c r="AK30" s="70">
        <v>-6.3097335335160487E-3</v>
      </c>
      <c r="AL30" s="70">
        <v>0.15182377649489709</v>
      </c>
      <c r="AM30" s="70">
        <v>1.9985214075601831E-2</v>
      </c>
      <c r="AN30" s="70">
        <v>8.8715574210862513E-3</v>
      </c>
      <c r="AO30" s="70">
        <v>-8.3584506190892416E-2</v>
      </c>
      <c r="AP30" s="70">
        <v>-5.438250245407561E-2</v>
      </c>
      <c r="AQ30" s="70">
        <v>-4.1448099081931034E-2</v>
      </c>
      <c r="AR30" s="70">
        <v>2.8024452700092795E-2</v>
      </c>
      <c r="AS30" s="70">
        <v>3.9402841727809168E-2</v>
      </c>
      <c r="AT30" s="70">
        <v>-1.4627721729054688E-2</v>
      </c>
      <c r="AU30" s="70">
        <v>-7.0358393001623831E-2</v>
      </c>
      <c r="AV30" s="70">
        <v>4.0012813457090957E-2</v>
      </c>
      <c r="AW30" s="70">
        <v>-3.8757908956821296E-2</v>
      </c>
      <c r="AX30" s="70">
        <v>-7.1358213796002268E-3</v>
      </c>
      <c r="AY30" s="70">
        <v>-6.3868444023307269E-2</v>
      </c>
      <c r="AZ30" s="70">
        <v>-0.11554212441250433</v>
      </c>
      <c r="BA30" s="70">
        <v>-2.062175828737578E-2</v>
      </c>
      <c r="BB30" s="70">
        <v>1.982962860120896E-2</v>
      </c>
      <c r="BC30" s="70">
        <v>-2.5335437272833161E-2</v>
      </c>
      <c r="BD30" s="70">
        <v>-1.0661832177849551E-2</v>
      </c>
      <c r="BE30" s="70">
        <v>8.1621492640859827E-2</v>
      </c>
      <c r="BF30" s="70">
        <v>-4.6872761870431212E-2</v>
      </c>
      <c r="BG30" s="70">
        <v>5.7400608166835454E-3</v>
      </c>
      <c r="BH30" s="70">
        <v>-4.343107912825328E-2</v>
      </c>
      <c r="BI30" s="70">
        <v>-2.3927422947012111E-2</v>
      </c>
      <c r="BJ30" s="70">
        <v>0.12483698544498711</v>
      </c>
      <c r="BK30" s="70">
        <v>-7.9793400867134157E-2</v>
      </c>
      <c r="BL30" s="70">
        <v>0.15034539493132826</v>
      </c>
      <c r="BM30" s="70">
        <v>0.18239927890990604</v>
      </c>
      <c r="BN30" s="70">
        <v>6.9016919104769592E-2</v>
      </c>
      <c r="BO30" s="70">
        <v>6.3067525793458756E-2</v>
      </c>
      <c r="BP30" s="70">
        <v>-1.0942171911121346E-2</v>
      </c>
      <c r="BQ30" s="70">
        <v>-4.705321155784592E-3</v>
      </c>
      <c r="BR30" s="70">
        <v>-9.6213813240586532E-2</v>
      </c>
      <c r="BS30" s="70">
        <v>-0.1094737370938681</v>
      </c>
      <c r="BT30" s="70">
        <v>4.3854836430323729E-3</v>
      </c>
      <c r="BU30" s="70">
        <v>-1.2585547051158219E-2</v>
      </c>
      <c r="BV30" s="70">
        <v>9.3145422286067259E-2</v>
      </c>
      <c r="BW30" s="70">
        <v>2.7102145557010626</v>
      </c>
      <c r="BX30" s="70">
        <v>-2.5594329163347584E-2</v>
      </c>
      <c r="BY30" s="70">
        <v>-3.442542204600274E-2</v>
      </c>
      <c r="BZ30" s="70">
        <v>-7.4304415433390503E-2</v>
      </c>
      <c r="CA30" s="70">
        <v>4.4654837255153623E-2</v>
      </c>
      <c r="CB30" s="70">
        <v>7.74853285924193E-2</v>
      </c>
      <c r="CC30" s="70">
        <v>1.3206883915577894</v>
      </c>
      <c r="CD30" s="70">
        <v>4.1213520287097793E-2</v>
      </c>
      <c r="CE30" s="70">
        <v>-2.1352166308052922E-3</v>
      </c>
      <c r="CF30" s="70">
        <v>1.1928678438749563</v>
      </c>
      <c r="CG30" s="70">
        <v>0.10509231873572222</v>
      </c>
      <c r="CH30" s="70">
        <v>3.3609807334622488E-2</v>
      </c>
      <c r="CI30" s="70">
        <v>-0.11135054262441102</v>
      </c>
      <c r="CJ30" s="70">
        <v>-4.83304108061966E-2</v>
      </c>
      <c r="CK30" s="70">
        <v>-1.6692415891533252</v>
      </c>
      <c r="CL30" s="70">
        <v>-6.5227403241074899E-2</v>
      </c>
      <c r="CM30" s="70">
        <v>2.8178628860020538E-2</v>
      </c>
      <c r="CN30" s="70">
        <v>-1.4966334992870034</v>
      </c>
      <c r="CO30" s="70">
        <v>-1.603644199627019</v>
      </c>
      <c r="CP30" s="70">
        <v>-0.34998368255848566</v>
      </c>
      <c r="CQ30" s="70">
        <v>-0.81879979626352517</v>
      </c>
      <c r="CR30" s="70">
        <v>-0.5194908175868318</v>
      </c>
      <c r="CS30" s="70">
        <v>0.35041821177701493</v>
      </c>
      <c r="CT30" s="70">
        <v>2.7194942538063316</v>
      </c>
      <c r="CU30" s="70">
        <v>-4.0784664138204141</v>
      </c>
      <c r="CV30" s="70">
        <v>-0.46703077139603755</v>
      </c>
      <c r="CW30" s="70">
        <v>-7.7047612891301132E-2</v>
      </c>
      <c r="CX30" s="70">
        <v>-3.1519418015291123E-2</v>
      </c>
      <c r="CY30" s="70">
        <v>0.20523113410630955</v>
      </c>
      <c r="CZ30" s="70">
        <v>1.3931287984978225</v>
      </c>
      <c r="DA30" s="70">
        <v>-8.4009418599617636E-2</v>
      </c>
      <c r="DB30" s="70">
        <v>0.21103559945736539</v>
      </c>
      <c r="DC30" s="70">
        <v>1.6572484409227428E-4</v>
      </c>
      <c r="DD30" s="70">
        <v>8.3764248142020001</v>
      </c>
      <c r="DE30" s="70">
        <v>1.1379622159801706E-2</v>
      </c>
      <c r="DF30" s="70">
        <v>0.29697970386806105</v>
      </c>
      <c r="DG30" s="46"/>
      <c r="DH30" s="46"/>
      <c r="DI30" s="46"/>
    </row>
    <row r="31" spans="1:113" ht="15.5" x14ac:dyDescent="0.35">
      <c r="A31" s="88"/>
      <c r="B31" s="80">
        <v>162</v>
      </c>
      <c r="C31" s="80">
        <v>1620</v>
      </c>
      <c r="D31" s="13" t="s">
        <v>136</v>
      </c>
      <c r="E31" s="33">
        <f>[1]CLASSI_EAI!G471</f>
        <v>2.6298326565708301</v>
      </c>
      <c r="F31" s="13">
        <v>1.7061413662244895E-2</v>
      </c>
      <c r="G31" s="13">
        <v>7.3454994093502535E-3</v>
      </c>
      <c r="H31" s="13">
        <v>-1.005661496588095E-2</v>
      </c>
      <c r="I31" s="13">
        <v>6.1852104197601676E-2</v>
      </c>
      <c r="J31" s="13">
        <v>-1.3746275367352623</v>
      </c>
      <c r="K31" s="13">
        <v>-1.8841906699345712</v>
      </c>
      <c r="L31" s="13">
        <v>-0.1216586606926362</v>
      </c>
      <c r="M31" s="13">
        <v>-1.9501020472719621</v>
      </c>
      <c r="N31" s="13">
        <v>0.18546951491384966</v>
      </c>
      <c r="O31" s="13">
        <v>1.1333149937412523</v>
      </c>
      <c r="P31" s="13">
        <v>4.6917439595195454E-2</v>
      </c>
      <c r="Q31" s="13">
        <v>1.837624720496267</v>
      </c>
      <c r="R31" s="13">
        <v>-0.12381379889390143</v>
      </c>
      <c r="S31" s="13">
        <v>-4.853575377845587E-2</v>
      </c>
      <c r="T31" s="13">
        <v>0.11122035654818063</v>
      </c>
      <c r="U31" s="13">
        <v>-3.5234796519245659E-2</v>
      </c>
      <c r="V31" s="13">
        <v>-5.9771249768014734E-2</v>
      </c>
      <c r="W31" s="13">
        <v>-4.0469010714394571E-2</v>
      </c>
      <c r="X31" s="13">
        <v>-1.8546122731788461E-2</v>
      </c>
      <c r="Y31" s="13">
        <v>-4.7109832675862329E-2</v>
      </c>
      <c r="Z31" s="13">
        <v>5.3101695802237892E-2</v>
      </c>
      <c r="AA31" s="13">
        <v>1.2659884433506408</v>
      </c>
      <c r="AB31" s="13">
        <v>4.4941500965367531E-2</v>
      </c>
      <c r="AC31" s="13">
        <v>-5.7501320103237052E-2</v>
      </c>
      <c r="AD31" s="13">
        <v>-5.1481254893237516E-2</v>
      </c>
      <c r="AE31" s="13">
        <v>-4.3826322097872961E-3</v>
      </c>
      <c r="AF31" s="13">
        <v>-2.9111217495525477E-2</v>
      </c>
      <c r="AG31" s="13">
        <v>-0.31176804507222489</v>
      </c>
      <c r="AH31" s="13">
        <v>1.9675163423826803E-3</v>
      </c>
      <c r="AI31" s="13">
        <v>-3.3440566273212902E-2</v>
      </c>
      <c r="AJ31" s="13">
        <v>6.8974730737192402E-3</v>
      </c>
      <c r="AK31" s="13">
        <v>-6.3097335335160487E-3</v>
      </c>
      <c r="AL31" s="13">
        <v>0.15182377649489709</v>
      </c>
      <c r="AM31" s="13">
        <v>1.9985214075601831E-2</v>
      </c>
      <c r="AN31" s="13">
        <v>8.8715574210862513E-3</v>
      </c>
      <c r="AO31" s="13">
        <v>-8.3584506190892416E-2</v>
      </c>
      <c r="AP31" s="13">
        <v>-5.438250245407561E-2</v>
      </c>
      <c r="AQ31" s="13">
        <v>-4.1448099081931034E-2</v>
      </c>
      <c r="AR31" s="13">
        <v>2.8024452700092795E-2</v>
      </c>
      <c r="AS31" s="13">
        <v>3.9402841727809168E-2</v>
      </c>
      <c r="AT31" s="13">
        <v>-1.4627721729054688E-2</v>
      </c>
      <c r="AU31" s="13">
        <v>-7.0358393001623831E-2</v>
      </c>
      <c r="AV31" s="13">
        <v>4.0012813457090957E-2</v>
      </c>
      <c r="AW31" s="13">
        <v>-3.8757908956821296E-2</v>
      </c>
      <c r="AX31" s="13">
        <v>-7.1358213796002268E-3</v>
      </c>
      <c r="AY31" s="13">
        <v>-6.3868444023307269E-2</v>
      </c>
      <c r="AZ31" s="13">
        <v>-0.11554212441250433</v>
      </c>
      <c r="BA31" s="13">
        <v>-2.062175828737578E-2</v>
      </c>
      <c r="BB31" s="13">
        <v>1.982962860120896E-2</v>
      </c>
      <c r="BC31" s="13">
        <v>-2.5335437272833161E-2</v>
      </c>
      <c r="BD31" s="13">
        <v>-1.0661832177849551E-2</v>
      </c>
      <c r="BE31" s="13">
        <v>8.1621492640859827E-2</v>
      </c>
      <c r="BF31" s="13">
        <v>-4.6872761870431212E-2</v>
      </c>
      <c r="BG31" s="13">
        <v>5.7400608166835454E-3</v>
      </c>
      <c r="BH31" s="13">
        <v>-4.343107912825328E-2</v>
      </c>
      <c r="BI31" s="13">
        <v>-2.3927422947012111E-2</v>
      </c>
      <c r="BJ31" s="13">
        <v>0.12483698544498711</v>
      </c>
      <c r="BK31" s="13">
        <v>-7.9793400867134157E-2</v>
      </c>
      <c r="BL31" s="13">
        <v>0.15034539493132826</v>
      </c>
      <c r="BM31" s="13">
        <v>0.18239927890990604</v>
      </c>
      <c r="BN31" s="13">
        <v>6.9016919104769592E-2</v>
      </c>
      <c r="BO31" s="13">
        <v>6.3067525793458756E-2</v>
      </c>
      <c r="BP31" s="13">
        <v>-1.0942171911121346E-2</v>
      </c>
      <c r="BQ31" s="13">
        <v>-4.705321155784592E-3</v>
      </c>
      <c r="BR31" s="13">
        <v>-9.6213813240586532E-2</v>
      </c>
      <c r="BS31" s="13">
        <v>-0.1094737370938681</v>
      </c>
      <c r="BT31" s="13">
        <v>4.3854836430323729E-3</v>
      </c>
      <c r="BU31" s="13">
        <v>-1.2585547051158219E-2</v>
      </c>
      <c r="BV31" s="13">
        <v>9.3145422286067259E-2</v>
      </c>
      <c r="BW31" s="13">
        <v>2.7102145557010626</v>
      </c>
      <c r="BX31" s="13">
        <v>-2.5594329163347584E-2</v>
      </c>
      <c r="BY31" s="13">
        <v>-3.442542204600274E-2</v>
      </c>
      <c r="BZ31" s="13">
        <v>-7.4304415433390503E-2</v>
      </c>
      <c r="CA31" s="13">
        <v>4.4654837255153623E-2</v>
      </c>
      <c r="CB31" s="13">
        <v>7.74853285924193E-2</v>
      </c>
      <c r="CC31" s="13">
        <v>1.3206883915577894</v>
      </c>
      <c r="CD31" s="13">
        <v>4.1213520287097793E-2</v>
      </c>
      <c r="CE31" s="13">
        <v>-2.1352166308052922E-3</v>
      </c>
      <c r="CF31" s="13">
        <v>1.1928678438749563</v>
      </c>
      <c r="CG31" s="13">
        <v>0.10509231873572222</v>
      </c>
      <c r="CH31" s="13">
        <v>3.3609807334622488E-2</v>
      </c>
      <c r="CI31" s="13">
        <v>-0.11135054262441102</v>
      </c>
      <c r="CJ31" s="13">
        <v>-4.83304108061966E-2</v>
      </c>
      <c r="CK31" s="13">
        <v>-1.6692415891533252</v>
      </c>
      <c r="CL31" s="13">
        <v>-6.5227403241074899E-2</v>
      </c>
      <c r="CM31" s="13">
        <v>2.8178628860020538E-2</v>
      </c>
      <c r="CN31" s="13">
        <v>-1.4966334992870034</v>
      </c>
      <c r="CO31" s="13">
        <v>-1.603644199627019</v>
      </c>
      <c r="CP31" s="13">
        <v>-0.34998368255848566</v>
      </c>
      <c r="CQ31" s="13">
        <v>-0.81879979626352517</v>
      </c>
      <c r="CR31" s="13">
        <v>-0.5194908175868318</v>
      </c>
      <c r="CS31" s="13">
        <v>0.35041821177701493</v>
      </c>
      <c r="CT31" s="13">
        <v>2.7194942538063316</v>
      </c>
      <c r="CU31" s="13">
        <v>-4.0784664138204141</v>
      </c>
      <c r="CV31" s="13">
        <v>-0.46703077139603755</v>
      </c>
      <c r="CW31" s="13">
        <v>-7.7047612891301132E-2</v>
      </c>
      <c r="CX31" s="13">
        <v>-3.1519418015291123E-2</v>
      </c>
      <c r="CY31" s="13">
        <v>0.20523113410630955</v>
      </c>
      <c r="CZ31" s="13">
        <v>1.3931287984978225</v>
      </c>
      <c r="DA31" s="13">
        <v>-8.4009418599617636E-2</v>
      </c>
      <c r="DB31" s="13">
        <v>0.21103559945736539</v>
      </c>
      <c r="DC31" s="13">
        <v>1.6572484409227428E-4</v>
      </c>
      <c r="DD31" s="13">
        <v>8.3764248142020001</v>
      </c>
      <c r="DE31" s="13">
        <v>1.1379622159801706E-2</v>
      </c>
      <c r="DF31" s="13">
        <v>0.29697970386806105</v>
      </c>
    </row>
    <row r="32" spans="1:113" ht="15.5" x14ac:dyDescent="0.35">
      <c r="A32" s="83">
        <v>17</v>
      </c>
      <c r="B32" s="83"/>
      <c r="C32" s="83"/>
      <c r="D32" s="45" t="s">
        <v>19</v>
      </c>
      <c r="E32" s="24">
        <f>E33+E34+E35</f>
        <v>13.192132101796759</v>
      </c>
      <c r="F32" s="70">
        <v>-3.1992326846318475</v>
      </c>
      <c r="G32" s="70">
        <v>4.1403957356151988</v>
      </c>
      <c r="H32" s="70">
        <v>-1.2207667614994033E-2</v>
      </c>
      <c r="I32" s="70">
        <v>3.8977236981751373</v>
      </c>
      <c r="J32" s="70">
        <v>1.8967438670358661E-3</v>
      </c>
      <c r="K32" s="70">
        <v>0.52770954653500457</v>
      </c>
      <c r="L32" s="70">
        <v>7.4122678095522865E-2</v>
      </c>
      <c r="M32" s="70">
        <v>0.1185753193896355</v>
      </c>
      <c r="N32" s="70">
        <v>4.2243288528953649E-2</v>
      </c>
      <c r="O32" s="70">
        <v>8.4514583981620817E-2</v>
      </c>
      <c r="P32" s="70">
        <v>5.4534371871861609E-2</v>
      </c>
      <c r="Q32" s="70">
        <v>2.2677690087138824</v>
      </c>
      <c r="R32" s="70">
        <v>0.13240075731049128</v>
      </c>
      <c r="S32" s="70">
        <v>-0.14393492626590954</v>
      </c>
      <c r="T32" s="70">
        <v>0.17157165558716603</v>
      </c>
      <c r="U32" s="70">
        <v>2.5753743007088659</v>
      </c>
      <c r="V32" s="70">
        <v>-7.1666790329727448E-2</v>
      </c>
      <c r="W32" s="70">
        <v>-4.9128718901259028E-2</v>
      </c>
      <c r="X32" s="70">
        <v>6.328783130160609E-3</v>
      </c>
      <c r="Y32" s="70">
        <v>-0.10576817368947999</v>
      </c>
      <c r="Z32" s="70">
        <v>0.29272429991715754</v>
      </c>
      <c r="AA32" s="70">
        <v>0.27069159588235525</v>
      </c>
      <c r="AB32" s="70">
        <v>5.3606123638449965E-2</v>
      </c>
      <c r="AC32" s="70">
        <v>-6.8576571800060826E-2</v>
      </c>
      <c r="AD32" s="70">
        <v>-0.57689267145876189</v>
      </c>
      <c r="AE32" s="70">
        <v>-0.26220553784886969</v>
      </c>
      <c r="AF32" s="70">
        <v>0.10719929058176092</v>
      </c>
      <c r="AG32" s="70">
        <v>3.919239306229283E-2</v>
      </c>
      <c r="AH32" s="70">
        <v>-1.1083765355879294E-2</v>
      </c>
      <c r="AI32" s="70">
        <v>-2.327847771558389</v>
      </c>
      <c r="AJ32" s="70">
        <v>9.8964497182785216E-2</v>
      </c>
      <c r="AK32" s="70">
        <v>-0.16158052930995703</v>
      </c>
      <c r="AL32" s="70">
        <v>-0.37180928944997582</v>
      </c>
      <c r="AM32" s="70">
        <v>-0.13648369563022955</v>
      </c>
      <c r="AN32" s="70">
        <v>-6.2045329189641674E-2</v>
      </c>
      <c r="AO32" s="70">
        <v>-4.1954656712328564E-2</v>
      </c>
      <c r="AP32" s="70">
        <v>-2.7067399594205011E-2</v>
      </c>
      <c r="AQ32" s="70">
        <v>-3.9004213007232114E-2</v>
      </c>
      <c r="AR32" s="70">
        <v>2.7665159160861208E-3</v>
      </c>
      <c r="AS32" s="70">
        <v>2.7597919034794138E-2</v>
      </c>
      <c r="AT32" s="70">
        <v>3.6464353684761974E-3</v>
      </c>
      <c r="AU32" s="70">
        <v>-8.5820711299222641E-2</v>
      </c>
      <c r="AV32" s="70">
        <v>3.2757475090416932E-2</v>
      </c>
      <c r="AW32" s="70">
        <v>-4.4399610155787528E-3</v>
      </c>
      <c r="AX32" s="70">
        <v>7.3135468858542829E-2</v>
      </c>
      <c r="AY32" s="70">
        <v>-0.10325453574265842</v>
      </c>
      <c r="AZ32" s="70">
        <v>0.2501925314128961</v>
      </c>
      <c r="BA32" s="70">
        <v>3.7114088397505185E-2</v>
      </c>
      <c r="BB32" s="70">
        <v>-1.1510534443210263</v>
      </c>
      <c r="BC32" s="70">
        <v>-2.9052414554886496E-2</v>
      </c>
      <c r="BD32" s="70">
        <v>-9.7835547054003769E-3</v>
      </c>
      <c r="BE32" s="70">
        <v>3.1974496951870046</v>
      </c>
      <c r="BF32" s="70">
        <v>0.28272182193422868</v>
      </c>
      <c r="BG32" s="70">
        <v>-0.3330271331102308</v>
      </c>
      <c r="BH32" s="70">
        <v>0.34748664634767223</v>
      </c>
      <c r="BI32" s="70">
        <v>-4.3732533319207345E-2</v>
      </c>
      <c r="BJ32" s="70">
        <v>0.41474087254511627</v>
      </c>
      <c r="BK32" s="70">
        <v>5.4887852017011962</v>
      </c>
      <c r="BL32" s="70">
        <v>0.1955373238164082</v>
      </c>
      <c r="BM32" s="70">
        <v>0.30719473471443326</v>
      </c>
      <c r="BN32" s="70">
        <v>9.5223718430736959E-2</v>
      </c>
      <c r="BO32" s="70">
        <v>-3.2463050782327585E-2</v>
      </c>
      <c r="BP32" s="70">
        <v>5.5090595383060714</v>
      </c>
      <c r="BQ32" s="70">
        <v>-8.8121731115975432E-2</v>
      </c>
      <c r="BR32" s="70">
        <v>-4.6905820624176808E-2</v>
      </c>
      <c r="BS32" s="70">
        <v>-0.13257173833809421</v>
      </c>
      <c r="BT32" s="70">
        <v>5.3088167258685814E-3</v>
      </c>
      <c r="BU32" s="70">
        <v>-1.5234491382221105E-2</v>
      </c>
      <c r="BV32" s="70">
        <v>0.11280514108653605</v>
      </c>
      <c r="BW32" s="70">
        <v>-1.172474367234777E-2</v>
      </c>
      <c r="BX32" s="70">
        <v>-0.23276269471135258</v>
      </c>
      <c r="BY32" s="70">
        <v>-4.1619281107452277E-2</v>
      </c>
      <c r="BZ32" s="70">
        <v>-4.9234903649386652E-2</v>
      </c>
      <c r="CA32" s="70">
        <v>5.3972462245899244E-2</v>
      </c>
      <c r="CB32" s="70">
        <v>0.10265286373063454</v>
      </c>
      <c r="CC32" s="70">
        <v>-0.13049785356632482</v>
      </c>
      <c r="CD32" s="70">
        <v>4.2893775603558559E-2</v>
      </c>
      <c r="CE32" s="70">
        <v>-9.5151107271984614E-3</v>
      </c>
      <c r="CF32" s="70">
        <v>-0.48284704259108358</v>
      </c>
      <c r="CG32" s="70">
        <v>0.3790778477312795</v>
      </c>
      <c r="CH32" s="70">
        <v>-5.4650246812115721E-2</v>
      </c>
      <c r="CI32" s="70">
        <v>-0.39120204309804896</v>
      </c>
      <c r="CJ32" s="70">
        <v>-5.7873293295906958E-2</v>
      </c>
      <c r="CK32" s="70">
        <v>-8.2543413722580006E-2</v>
      </c>
      <c r="CL32" s="70">
        <v>-7.801246830992925E-2</v>
      </c>
      <c r="CM32" s="70">
        <v>3.3699025242106551E-2</v>
      </c>
      <c r="CN32" s="70">
        <v>1.4693258080428429</v>
      </c>
      <c r="CO32" s="70">
        <v>-8.1579733479231198E-2</v>
      </c>
      <c r="CP32" s="70">
        <v>2.0254039257761036E-2</v>
      </c>
      <c r="CQ32" s="70">
        <v>-0.40531037972988404</v>
      </c>
      <c r="CR32" s="70">
        <v>-4.1398856571916998E-2</v>
      </c>
      <c r="CS32" s="70">
        <v>1.1644530223953176E-2</v>
      </c>
      <c r="CT32" s="70">
        <v>-9.6222347070074044E-3</v>
      </c>
      <c r="CU32" s="70">
        <v>3.3430951793755881E-3</v>
      </c>
      <c r="CV32" s="70">
        <v>-0.75232928622740447</v>
      </c>
      <c r="CW32" s="70">
        <v>-9.234460237002029E-2</v>
      </c>
      <c r="CX32" s="70">
        <v>0.37244830711644639</v>
      </c>
      <c r="CY32" s="70">
        <v>-4.5261442044830513E-2</v>
      </c>
      <c r="CZ32" s="70">
        <v>-0.11336720171480907</v>
      </c>
      <c r="DA32" s="70">
        <v>-8.9967123943368588E-2</v>
      </c>
      <c r="DB32" s="70">
        <v>0.29970404871373368</v>
      </c>
      <c r="DC32" s="70">
        <v>1.778921661754751E-4</v>
      </c>
      <c r="DD32" s="70">
        <v>0.21425887924115816</v>
      </c>
      <c r="DE32" s="70">
        <v>1.2169362856884192E-2</v>
      </c>
      <c r="DF32" s="70">
        <v>0.31786531369406568</v>
      </c>
      <c r="DG32" s="46"/>
      <c r="DH32" s="46"/>
      <c r="DI32" s="46"/>
    </row>
    <row r="33" spans="1:113" ht="15.5" x14ac:dyDescent="0.35">
      <c r="A33" s="88"/>
      <c r="B33" s="80">
        <v>170</v>
      </c>
      <c r="C33" s="80" t="s">
        <v>102</v>
      </c>
      <c r="D33" s="13" t="s">
        <v>91</v>
      </c>
      <c r="E33" s="33">
        <f>VLOOKUP(C33,[1]CLASSI_EAI!A:G,7,FALSE)</f>
        <v>0.96095840983093905</v>
      </c>
      <c r="F33" s="13">
        <v>1.1486442024974286</v>
      </c>
      <c r="G33" s="13">
        <v>0.3365496685368452</v>
      </c>
      <c r="H33" s="13">
        <v>-2.2793542079291296E-2</v>
      </c>
      <c r="I33" s="13">
        <v>0.14025302566889053</v>
      </c>
      <c r="J33" s="13">
        <v>3.4448159007327561E-3</v>
      </c>
      <c r="K33" s="13">
        <v>-5.7230611638103834E-2</v>
      </c>
      <c r="L33" s="13">
        <v>0.6337910958570836</v>
      </c>
      <c r="M33" s="13">
        <v>1.732532204078896</v>
      </c>
      <c r="N33" s="13">
        <v>4.1227206438421149E-2</v>
      </c>
      <c r="O33" s="13">
        <v>0.2827424566679948</v>
      </c>
      <c r="P33" s="13">
        <v>5.3174761146279614E-2</v>
      </c>
      <c r="Q33" s="13">
        <v>-1.2472651559725767</v>
      </c>
      <c r="R33" s="13">
        <v>3.779569276122885</v>
      </c>
      <c r="S33" s="13">
        <v>-1.281860796469092</v>
      </c>
      <c r="T33" s="13">
        <v>0.75479764810308936</v>
      </c>
      <c r="U33" s="13">
        <v>-3.9931831277639773E-2</v>
      </c>
      <c r="V33" s="13">
        <v>-0.44781141601275554</v>
      </c>
      <c r="W33" s="13">
        <v>-4.5863641260779353E-2</v>
      </c>
      <c r="X33" s="13">
        <v>-0.54473763506009965</v>
      </c>
      <c r="Y33" s="13">
        <v>-0.21676751327697197</v>
      </c>
      <c r="Z33" s="13">
        <v>3.4332303873981118</v>
      </c>
      <c r="AA33" s="13">
        <v>-1.7559489731366895E-3</v>
      </c>
      <c r="AB33" s="13">
        <v>0.10189639781472692</v>
      </c>
      <c r="AC33" s="13">
        <v>-0.13028886275875395</v>
      </c>
      <c r="AD33" s="13">
        <v>-0.46354819639855549</v>
      </c>
      <c r="AE33" s="13">
        <v>-2.8661281507583736</v>
      </c>
      <c r="AF33" s="13">
        <v>2.3570947611473159</v>
      </c>
      <c r="AG33" s="13">
        <v>7.4945141734494847E-2</v>
      </c>
      <c r="AH33" s="13">
        <v>4.4597592815609488E-3</v>
      </c>
      <c r="AI33" s="13">
        <v>0.58147868013243009</v>
      </c>
      <c r="AJ33" s="13">
        <v>1.9865080206438179E-2</v>
      </c>
      <c r="AK33" s="13">
        <v>-1.4301491145241041E-2</v>
      </c>
      <c r="AL33" s="13">
        <v>0.34446484017907064</v>
      </c>
      <c r="AM33" s="13">
        <v>4.5305552408159144E-2</v>
      </c>
      <c r="AN33" s="13">
        <v>2.0109993343986332E-2</v>
      </c>
      <c r="AO33" s="13">
        <v>-0.36523641730786816</v>
      </c>
      <c r="AP33" s="13">
        <v>-0.12322455168296553</v>
      </c>
      <c r="AQ33" s="13">
        <v>-9.3924363440722747E-2</v>
      </c>
      <c r="AR33" s="13">
        <v>8.6140262090039776E-2</v>
      </c>
      <c r="AS33" s="13">
        <v>8.9335396901923936E-2</v>
      </c>
      <c r="AT33" s="13">
        <v>0.12378794235285984</v>
      </c>
      <c r="AU33" s="13">
        <v>-0.15940796422559966</v>
      </c>
      <c r="AV33" s="13">
        <v>9.0718694926916754E-2</v>
      </c>
      <c r="AW33" s="13">
        <v>-8.7829696481178665E-2</v>
      </c>
      <c r="AX33" s="13">
        <v>-1.6173797480933949E-2</v>
      </c>
      <c r="AY33" s="13">
        <v>-0.14470991757599139</v>
      </c>
      <c r="AZ33" s="13">
        <v>-0.2617038552730877</v>
      </c>
      <c r="BA33" s="13">
        <v>-4.6736547430692443E-2</v>
      </c>
      <c r="BB33" s="13">
        <v>-2.1595891549232915</v>
      </c>
      <c r="BC33" s="13">
        <v>-5.7417776752388683E-2</v>
      </c>
      <c r="BD33" s="13">
        <v>-2.4165187755620376E-2</v>
      </c>
      <c r="BE33" s="13">
        <v>0.1851043612784764</v>
      </c>
      <c r="BF33" s="13">
        <v>-0.10621338826384275</v>
      </c>
      <c r="BG33" s="13">
        <v>0.28680776471008418</v>
      </c>
      <c r="BH33" s="13">
        <v>3.9147431148316869</v>
      </c>
      <c r="BI33" s="13">
        <v>1.49698877716542</v>
      </c>
      <c r="BJ33" s="13">
        <v>1.1608133112669172</v>
      </c>
      <c r="BK33" s="13">
        <v>-0.18077364681629016</v>
      </c>
      <c r="BL33" s="13">
        <v>0.56291445743856805</v>
      </c>
      <c r="BM33" s="13">
        <v>1.8923854402381091</v>
      </c>
      <c r="BN33" s="13">
        <v>1.0953530008326995</v>
      </c>
      <c r="BO33" s="13">
        <v>0.14301016107189923</v>
      </c>
      <c r="BP33" s="13">
        <v>1.1977901656542667</v>
      </c>
      <c r="BQ33" s="13">
        <v>0.34762191946959842</v>
      </c>
      <c r="BR33" s="13">
        <v>0.19655744037747613</v>
      </c>
      <c r="BS33" s="13">
        <v>-0.24796844334821211</v>
      </c>
      <c r="BT33" s="13">
        <v>9.9407056846745334E-3</v>
      </c>
      <c r="BU33" s="13">
        <v>-2.8524966145559993E-2</v>
      </c>
      <c r="BV33" s="13">
        <v>0.21125418395937512</v>
      </c>
      <c r="BW33" s="13">
        <v>-0.19719708053090867</v>
      </c>
      <c r="BX33" s="13">
        <v>-5.8004409094947196E-2</v>
      </c>
      <c r="BY33" s="13">
        <v>-7.8013944250354683E-2</v>
      </c>
      <c r="BZ33" s="13">
        <v>-0.16834408776433829</v>
      </c>
      <c r="CA33" s="13">
        <v>0.1012462580078477</v>
      </c>
      <c r="CB33" s="13">
        <v>0.30292492823222883</v>
      </c>
      <c r="CC33" s="13">
        <v>6.2686145792634207E-2</v>
      </c>
      <c r="CD33" s="13">
        <v>9.3441697233931365E-2</v>
      </c>
      <c r="CE33" s="13">
        <v>-4.839758914143566E-3</v>
      </c>
      <c r="CF33" s="13">
        <v>-7.2679783693796463</v>
      </c>
      <c r="CG33" s="13">
        <v>0.23836781904156279</v>
      </c>
      <c r="CH33" s="13">
        <v>7.6198446753372728E-2</v>
      </c>
      <c r="CI33" s="13">
        <v>-0.25221658718310724</v>
      </c>
      <c r="CJ33" s="13">
        <v>-0.10951540048402819</v>
      </c>
      <c r="CK33" s="13">
        <v>-0.15626880756164363</v>
      </c>
      <c r="CL33" s="13">
        <v>-0.14778770687188247</v>
      </c>
      <c r="CM33" s="13">
        <v>6.3882957850203148E-2</v>
      </c>
      <c r="CN33" s="13">
        <v>1.3282868835151618</v>
      </c>
      <c r="CO33" s="13">
        <v>-0.15666845294430853</v>
      </c>
      <c r="CP33" s="13">
        <v>3.8924534848483461E-2</v>
      </c>
      <c r="CQ33" s="13">
        <v>-5.2884974891664882E-2</v>
      </c>
      <c r="CR33" s="13">
        <v>9.0261419962334166E-2</v>
      </c>
      <c r="CS33" s="13">
        <v>0.60000560992119478</v>
      </c>
      <c r="CT33" s="13">
        <v>-3.5743871038851349E-2</v>
      </c>
      <c r="CU33" s="13">
        <v>6.3510035975822277E-3</v>
      </c>
      <c r="CV33" s="13">
        <v>-1.7008254085932761</v>
      </c>
      <c r="CW33" s="13">
        <v>-0.17455604234227762</v>
      </c>
      <c r="CX33" s="13">
        <v>-7.1429752700558069E-2</v>
      </c>
      <c r="CY33" s="13">
        <v>-9.7362167618619821E-2</v>
      </c>
      <c r="CZ33" s="13">
        <v>-0.24392493184853814</v>
      </c>
      <c r="DA33" s="13">
        <v>-0.19376140810409836</v>
      </c>
      <c r="DB33" s="13">
        <v>1.6161982103372274</v>
      </c>
      <c r="DC33" s="13">
        <v>3.8244236233442308E-4</v>
      </c>
      <c r="DD33" s="13">
        <v>-1.2937830397708572</v>
      </c>
      <c r="DE33" s="13">
        <v>2.6368748461136349E-2</v>
      </c>
      <c r="DF33" s="13">
        <v>0.6866689655967928</v>
      </c>
    </row>
    <row r="34" spans="1:113" ht="15.5" x14ac:dyDescent="0.35">
      <c r="A34" s="88"/>
      <c r="C34" s="80" t="s">
        <v>103</v>
      </c>
      <c r="D34" s="13" t="s">
        <v>92</v>
      </c>
      <c r="E34" s="33">
        <f>VLOOKUP(C34,[1]CLASSI_EAI!A:G,7,FALSE)</f>
        <v>6.0093794149194499</v>
      </c>
      <c r="F34" s="13">
        <v>1.1566632291483581</v>
      </c>
      <c r="G34" s="13">
        <v>8.7178422046570567</v>
      </c>
      <c r="H34" s="13">
        <v>-2.1369097922230296E-2</v>
      </c>
      <c r="I34" s="13">
        <v>7.8902495051277777</v>
      </c>
      <c r="J34" s="13">
        <v>3.2295114303915184E-3</v>
      </c>
      <c r="K34" s="13">
        <v>-5.365465817837034E-2</v>
      </c>
      <c r="L34" s="13">
        <v>5.7807261314524183E-2</v>
      </c>
      <c r="M34" s="13">
        <v>-8.5532668261611988E-3</v>
      </c>
      <c r="N34" s="13">
        <v>7.7314954540996794E-2</v>
      </c>
      <c r="O34" s="13">
        <v>0.12621285130334225</v>
      </c>
      <c r="P34" s="13">
        <v>9.9725871424372059E-2</v>
      </c>
      <c r="Q34" s="13">
        <v>0.37616409266347794</v>
      </c>
      <c r="R34" s="13">
        <v>-0.26292109241076167</v>
      </c>
      <c r="S34" s="13">
        <v>-0.10311031914032043</v>
      </c>
      <c r="T34" s="13">
        <v>0.23649112428558716</v>
      </c>
      <c r="U34" s="13">
        <v>-7.4859103125524129E-2</v>
      </c>
      <c r="V34" s="13">
        <v>-8.3111412142156116E-2</v>
      </c>
      <c r="W34" s="13">
        <v>-9.473800204543581E-2</v>
      </c>
      <c r="X34" s="13">
        <v>9.1518935567513893E-2</v>
      </c>
      <c r="Y34" s="13">
        <v>-0.18706516335966761</v>
      </c>
      <c r="Z34" s="13">
        <v>0.11287480962891561</v>
      </c>
      <c r="AA34" s="13">
        <v>0.55986744141403033</v>
      </c>
      <c r="AB34" s="13">
        <v>9.5524832190330144E-2</v>
      </c>
      <c r="AC34" s="13">
        <v>-0.12215078433224225</v>
      </c>
      <c r="AD34" s="13">
        <v>-1.121199333723899</v>
      </c>
      <c r="AE34" s="13">
        <v>-0.11945568498386017</v>
      </c>
      <c r="AF34" s="13">
        <v>-0.11727498612206233</v>
      </c>
      <c r="AG34" s="13">
        <v>7.0259425273366816E-2</v>
      </c>
      <c r="AH34" s="13">
        <v>-2.3645597928834139E-2</v>
      </c>
      <c r="AI34" s="13">
        <v>-4.9143776694364094</v>
      </c>
      <c r="AJ34" s="13">
        <v>0.20776427647801743</v>
      </c>
      <c r="AK34" s="13">
        <v>-0.34167894253289699</v>
      </c>
      <c r="AL34" s="13">
        <v>-0.84660941877945373</v>
      </c>
      <c r="AM34" s="13">
        <v>-0.2995732218347813</v>
      </c>
      <c r="AN34" s="13">
        <v>-0.13633725285541187</v>
      </c>
      <c r="AO34" s="13">
        <v>-3.2053493742656425E-2</v>
      </c>
      <c r="AP34" s="13">
        <v>-3.8604261334729273E-2</v>
      </c>
      <c r="AQ34" s="13">
        <v>-6.8899938943522976E-2</v>
      </c>
      <c r="AR34" s="13">
        <v>-7.6863667524906809E-3</v>
      </c>
      <c r="AS34" s="13">
        <v>4.514445630332542E-2</v>
      </c>
      <c r="AT34" s="13">
        <v>-1.1780465236344018E-2</v>
      </c>
      <c r="AU34" s="13">
        <v>-0.15908631487314695</v>
      </c>
      <c r="AV34" s="13">
        <v>5.6034793478909606E-2</v>
      </c>
      <c r="AW34" s="13">
        <v>4.3960024726175106E-3</v>
      </c>
      <c r="AX34" s="13">
        <v>0.1597539696382988</v>
      </c>
      <c r="AY34" s="13">
        <v>-0.19882637539210268</v>
      </c>
      <c r="AZ34" s="13">
        <v>0.57923264794206286</v>
      </c>
      <c r="BA34" s="13">
        <v>8.6855219754178314E-2</v>
      </c>
      <c r="BB34" s="13">
        <v>-2.1261481870082366</v>
      </c>
      <c r="BC34" s="13">
        <v>-5.383013176152307E-2</v>
      </c>
      <c r="BD34" s="13">
        <v>-1.7375777131234393E-2</v>
      </c>
      <c r="BE34" s="13">
        <v>6.8884273862462653</v>
      </c>
      <c r="BF34" s="13">
        <v>0.60613361996810777</v>
      </c>
      <c r="BG34" s="13">
        <v>-0.73520897231941218</v>
      </c>
      <c r="BH34" s="13">
        <v>0.14936982242235164</v>
      </c>
      <c r="BI34" s="13">
        <v>-0.32055246653830416</v>
      </c>
      <c r="BJ34" s="13">
        <v>0.6903457336035812</v>
      </c>
      <c r="BK34" s="13">
        <v>7.6293136286672336</v>
      </c>
      <c r="BL34" s="13">
        <v>0.31975416645211308</v>
      </c>
      <c r="BM34" s="13">
        <v>0.35462690455634327</v>
      </c>
      <c r="BN34" s="13">
        <v>3.3391604195953661E-2</v>
      </c>
      <c r="BO34" s="13">
        <v>-8.7917994269970379E-2</v>
      </c>
      <c r="BP34" s="13">
        <v>7.423210312075379</v>
      </c>
      <c r="BQ34" s="13">
        <v>-0.22658304351156344</v>
      </c>
      <c r="BR34" s="13">
        <v>-0.12252123438208917</v>
      </c>
      <c r="BS34" s="13">
        <v>-0.23248844564435212</v>
      </c>
      <c r="BT34" s="13">
        <v>9.3193826299131644E-3</v>
      </c>
      <c r="BU34" s="13">
        <v>-2.674239416650126E-2</v>
      </c>
      <c r="BV34" s="13">
        <v>0.19803773252753398</v>
      </c>
      <c r="BW34" s="13">
        <v>4.3537447774744109E-3</v>
      </c>
      <c r="BX34" s="13">
        <v>-0.46189686016889775</v>
      </c>
      <c r="BY34" s="13">
        <v>-7.3139856286796867E-2</v>
      </c>
      <c r="BZ34" s="13">
        <v>-7.5719800071916143E-2</v>
      </c>
      <c r="CA34" s="13">
        <v>9.4915364793224377E-2</v>
      </c>
      <c r="CB34" s="13">
        <v>0.16472809185288373</v>
      </c>
      <c r="CC34" s="13">
        <v>-0.27299968498645244</v>
      </c>
      <c r="CD34" s="13">
        <v>7.3555920637957684E-2</v>
      </c>
      <c r="CE34" s="13">
        <v>-1.8583232816038464E-2</v>
      </c>
      <c r="CF34" s="13">
        <v>6.1600727570954028E-2</v>
      </c>
      <c r="CG34" s="13">
        <v>0.22345319813228404</v>
      </c>
      <c r="CH34" s="13">
        <v>-0.12039291111648476</v>
      </c>
      <c r="CI34" s="13">
        <v>-0.75648179389853354</v>
      </c>
      <c r="CJ34" s="13">
        <v>-0.10267420307413788</v>
      </c>
      <c r="CK34" s="13">
        <v>-0.14650916533114344</v>
      </c>
      <c r="CL34" s="13">
        <v>-0.13855737733505791</v>
      </c>
      <c r="CM34" s="13">
        <v>5.9889077640051802E-2</v>
      </c>
      <c r="CN34" s="13">
        <v>-4.146509127042064E-2</v>
      </c>
      <c r="CO34" s="13">
        <v>-0.14688386954770927</v>
      </c>
      <c r="CP34" s="13">
        <v>3.6491307598973677E-2</v>
      </c>
      <c r="CQ34" s="13">
        <v>0.87782616007705538</v>
      </c>
      <c r="CR34" s="13">
        <v>-9.6358406548080477E-2</v>
      </c>
      <c r="CS34" s="13">
        <v>-5.6891840805095573E-2</v>
      </c>
      <c r="CT34" s="13">
        <v>-1.4774144710616444E-2</v>
      </c>
      <c r="CU34" s="13">
        <v>5.9540540560343302E-3</v>
      </c>
      <c r="CV34" s="13">
        <v>-5.5340782812107747E-2</v>
      </c>
      <c r="CW34" s="13">
        <v>-0.16365522192220983</v>
      </c>
      <c r="CX34" s="13">
        <v>-6.696688832300568E-2</v>
      </c>
      <c r="CY34" s="13">
        <v>-7.9113984604783916E-2</v>
      </c>
      <c r="CZ34" s="13">
        <v>-0.19823437273277511</v>
      </c>
      <c r="DA34" s="13">
        <v>-0.15745976361656311</v>
      </c>
      <c r="DB34" s="13">
        <v>0.39605705145102643</v>
      </c>
      <c r="DC34" s="13">
        <v>3.1073430797334822E-4</v>
      </c>
      <c r="DD34" s="13">
        <v>-4.5822810187690077E-2</v>
      </c>
      <c r="DE34" s="13">
        <v>2.1337853814840102E-2</v>
      </c>
      <c r="DF34" s="13">
        <v>0.55756034586187386</v>
      </c>
    </row>
    <row r="35" spans="1:113" ht="15.5" x14ac:dyDescent="0.35">
      <c r="A35" s="88"/>
      <c r="C35" s="80" t="s">
        <v>104</v>
      </c>
      <c r="D35" s="13" t="s">
        <v>94</v>
      </c>
      <c r="E35" s="33">
        <f>VLOOKUP(C35,[1]CLASSI_EAI!A:G,7,FALSE)</f>
        <v>6.2217942770463699</v>
      </c>
      <c r="F35" s="13">
        <v>-8.008636847556394</v>
      </c>
      <c r="G35" s="13">
        <v>0</v>
      </c>
      <c r="H35" s="13">
        <v>0</v>
      </c>
      <c r="I35" s="13">
        <v>0</v>
      </c>
      <c r="J35" s="13">
        <v>0</v>
      </c>
      <c r="K35" s="13">
        <v>1.3397515116446712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5.1682249983618256</v>
      </c>
      <c r="R35" s="13">
        <v>0</v>
      </c>
      <c r="S35" s="13">
        <v>0</v>
      </c>
      <c r="T35" s="13">
        <v>0</v>
      </c>
      <c r="U35" s="13">
        <v>6.0767633745321126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4.152715844578081</v>
      </c>
      <c r="BL35" s="13">
        <v>0</v>
      </c>
      <c r="BM35" s="13">
        <v>0</v>
      </c>
      <c r="BN35" s="13">
        <v>0</v>
      </c>
      <c r="BO35" s="13">
        <v>0</v>
      </c>
      <c r="BP35" s="13">
        <v>4.1024105253741006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0.57659655123336595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3.1760664151775364</v>
      </c>
      <c r="CO35" s="13">
        <v>0</v>
      </c>
      <c r="CP35" s="13">
        <v>0</v>
      </c>
      <c r="CQ35" s="13">
        <v>-1.8423470126248342</v>
      </c>
      <c r="CR35" s="13">
        <v>0</v>
      </c>
      <c r="CS35" s="13">
        <v>0</v>
      </c>
      <c r="CT35" s="13">
        <v>0</v>
      </c>
      <c r="CU35" s="13">
        <v>0</v>
      </c>
      <c r="CV35" s="13">
        <v>-1.3824722274230816</v>
      </c>
      <c r="CW35" s="13">
        <v>0</v>
      </c>
      <c r="CX35" s="13">
        <v>0.93118913026923877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0.72772998598020777</v>
      </c>
      <c r="DE35" s="13">
        <v>0</v>
      </c>
      <c r="DF35" s="13">
        <v>0</v>
      </c>
    </row>
    <row r="36" spans="1:113" ht="15.5" x14ac:dyDescent="0.35">
      <c r="A36" s="83">
        <v>18</v>
      </c>
      <c r="B36" s="83"/>
      <c r="C36" s="83"/>
      <c r="D36" s="45" t="s">
        <v>20</v>
      </c>
      <c r="E36" s="50">
        <f>E37</f>
        <v>12.4497277597767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0.41464337288368291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2.2451317314181596</v>
      </c>
      <c r="BV36" s="70">
        <v>0</v>
      </c>
      <c r="BW36" s="70">
        <v>0.56825188704263674</v>
      </c>
      <c r="BX36" s="70">
        <v>0</v>
      </c>
      <c r="BY36" s="70">
        <v>0</v>
      </c>
      <c r="BZ36" s="70">
        <v>0.2009923491194554</v>
      </c>
      <c r="CA36" s="70">
        <v>0</v>
      </c>
      <c r="CB36" s="70">
        <v>0</v>
      </c>
      <c r="CC36" s="70">
        <v>0</v>
      </c>
      <c r="CD36" s="70">
        <v>0</v>
      </c>
      <c r="CE36" s="70">
        <v>0</v>
      </c>
      <c r="CF36" s="70">
        <v>2.3370685731649354</v>
      </c>
      <c r="CG36" s="70">
        <v>7.6958744724286987E-2</v>
      </c>
      <c r="CH36" s="70">
        <v>2.2962008682109403</v>
      </c>
      <c r="CI36" s="70">
        <v>0</v>
      </c>
      <c r="CJ36" s="70">
        <v>0</v>
      </c>
      <c r="CK36" s="70">
        <v>-0.29402448798597769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70">
        <v>0</v>
      </c>
      <c r="CS36" s="70">
        <v>0.1021070801217272</v>
      </c>
      <c r="CT36" s="70">
        <v>0</v>
      </c>
      <c r="CU36" s="70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-2.23448932024084E-5</v>
      </c>
      <c r="DA36" s="70">
        <v>-9.0674409268576284E-2</v>
      </c>
      <c r="DB36" s="70">
        <v>0</v>
      </c>
      <c r="DC36" s="70">
        <v>0</v>
      </c>
      <c r="DD36" s="70">
        <v>0.58831391050770954</v>
      </c>
      <c r="DE36" s="70">
        <v>0.21202485504934199</v>
      </c>
      <c r="DF36" s="70">
        <v>1.2857134823468064</v>
      </c>
      <c r="DG36" s="46"/>
      <c r="DH36" s="46"/>
      <c r="DI36" s="46"/>
    </row>
    <row r="37" spans="1:113" ht="15.5" x14ac:dyDescent="0.35">
      <c r="A37" s="88"/>
      <c r="B37" s="80">
        <v>181</v>
      </c>
      <c r="C37" s="80" t="s">
        <v>106</v>
      </c>
      <c r="D37" s="13" t="s">
        <v>107</v>
      </c>
      <c r="E37" s="33">
        <f>VLOOKUP(C37,[1]CLASSI_EAI!A:G,7,FALSE)</f>
        <v>12.4497277597767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0.41464337288368291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2.2451317314181596</v>
      </c>
      <c r="BV37" s="13">
        <v>0</v>
      </c>
      <c r="BW37" s="13">
        <v>0.56825188704263674</v>
      </c>
      <c r="BX37" s="13">
        <v>0</v>
      </c>
      <c r="BY37" s="13">
        <v>0</v>
      </c>
      <c r="BZ37" s="13">
        <v>0.2009923491194554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2.3370685731649354</v>
      </c>
      <c r="CG37" s="13">
        <v>7.6958744724286987E-2</v>
      </c>
      <c r="CH37" s="13">
        <v>2.2962008682109403</v>
      </c>
      <c r="CI37" s="13">
        <v>0</v>
      </c>
      <c r="CJ37" s="13">
        <v>0</v>
      </c>
      <c r="CK37" s="13">
        <v>-0.29402448798597769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0.1021070801217272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-2.23448932024084E-5</v>
      </c>
      <c r="DA37" s="13">
        <v>-9.0674409268576284E-2</v>
      </c>
      <c r="DB37" s="13">
        <v>0</v>
      </c>
      <c r="DC37" s="13">
        <v>0</v>
      </c>
      <c r="DD37" s="13">
        <v>0.58831391050770954</v>
      </c>
      <c r="DE37" s="13">
        <v>0.21202485504934199</v>
      </c>
      <c r="DF37" s="13">
        <v>1.2857134823468064</v>
      </c>
    </row>
    <row r="38" spans="1:113" ht="15.5" x14ac:dyDescent="0.35">
      <c r="A38" s="83">
        <v>20</v>
      </c>
      <c r="B38" s="83"/>
      <c r="C38" s="83"/>
      <c r="D38" s="45" t="s">
        <v>21</v>
      </c>
      <c r="E38" s="24">
        <f>E39+E40+E41</f>
        <v>36.487690063799683</v>
      </c>
      <c r="F38" s="70">
        <v>0.47747289046717878</v>
      </c>
      <c r="G38" s="70">
        <v>-1.6900489256510554E-2</v>
      </c>
      <c r="H38" s="70">
        <v>0.12329839603375525</v>
      </c>
      <c r="I38" s="70">
        <v>-5.6541690003963918E-2</v>
      </c>
      <c r="J38" s="70">
        <v>0.13143568859692589</v>
      </c>
      <c r="K38" s="70">
        <v>1.5709679554709588E-2</v>
      </c>
      <c r="L38" s="70">
        <v>-1.3102764182058357</v>
      </c>
      <c r="M38" s="70">
        <v>0.41038896335703345</v>
      </c>
      <c r="N38" s="70">
        <v>-4.0782578779441359E-2</v>
      </c>
      <c r="O38" s="70">
        <v>3.6958396951432659</v>
      </c>
      <c r="P38" s="70">
        <v>-4.0575344387305812E-2</v>
      </c>
      <c r="Q38" s="70">
        <v>0.20260224373780389</v>
      </c>
      <c r="R38" s="70">
        <v>0.11333659321757228</v>
      </c>
      <c r="S38" s="70">
        <v>1.3773123053270497</v>
      </c>
      <c r="T38" s="70">
        <v>0.64019510390143086</v>
      </c>
      <c r="U38" s="70">
        <v>0.1162401299450444</v>
      </c>
      <c r="V38" s="70">
        <v>-1.726375906331401</v>
      </c>
      <c r="W38" s="70">
        <v>0.17769530774596198</v>
      </c>
      <c r="X38" s="70">
        <v>0.19004675498959234</v>
      </c>
      <c r="Y38" s="70">
        <v>0.44633092762580429</v>
      </c>
      <c r="Z38" s="70">
        <v>0.21598739365435993</v>
      </c>
      <c r="AA38" s="70">
        <v>2.0537434721388914</v>
      </c>
      <c r="AB38" s="70">
        <v>3.4509681867733732E-2</v>
      </c>
      <c r="AC38" s="70">
        <v>-8.8162399565316907E-2</v>
      </c>
      <c r="AD38" s="70">
        <v>-7.588972527872162E-3</v>
      </c>
      <c r="AE38" s="70">
        <v>-2.9230374286199901</v>
      </c>
      <c r="AF38" s="70">
        <v>0.33352209934134347</v>
      </c>
      <c r="AG38" s="70">
        <v>-3.2813115671901816</v>
      </c>
      <c r="AH38" s="70">
        <v>-9.6386380352142531E-3</v>
      </c>
      <c r="AI38" s="70">
        <v>8.7787377465575744E-2</v>
      </c>
      <c r="AJ38" s="70">
        <v>0.99927384737166225</v>
      </c>
      <c r="AK38" s="70">
        <v>-0.4735603040664782</v>
      </c>
      <c r="AL38" s="70">
        <v>4.0198158826942887E-2</v>
      </c>
      <c r="AM38" s="70">
        <v>-7.8211202542510794E-2</v>
      </c>
      <c r="AN38" s="70">
        <v>0.44307525252018642</v>
      </c>
      <c r="AO38" s="70">
        <v>0.18440986399761439</v>
      </c>
      <c r="AP38" s="70">
        <v>0.47445998637356546</v>
      </c>
      <c r="AQ38" s="70">
        <v>-0.12462621049151856</v>
      </c>
      <c r="AR38" s="70">
        <v>6.8788817638232302E-2</v>
      </c>
      <c r="AS38" s="70">
        <v>-0.12946085214702308</v>
      </c>
      <c r="AT38" s="70">
        <v>0.56697448842173426</v>
      </c>
      <c r="AU38" s="70">
        <v>1.0626758522735757</v>
      </c>
      <c r="AV38" s="70">
        <v>-8.7373004836266421E-2</v>
      </c>
      <c r="AW38" s="70">
        <v>1.8729223756091873</v>
      </c>
      <c r="AX38" s="70">
        <v>2.3623857215945288</v>
      </c>
      <c r="AY38" s="70">
        <v>0.26021756219427594</v>
      </c>
      <c r="AZ38" s="70">
        <v>1.1355549319638447</v>
      </c>
      <c r="BA38" s="70">
        <v>0.39421775701704576</v>
      </c>
      <c r="BB38" s="70">
        <v>3.4144497763025194</v>
      </c>
      <c r="BC38" s="70">
        <v>2.5885561418337311E-2</v>
      </c>
      <c r="BD38" s="70">
        <v>1.5346467117282492</v>
      </c>
      <c r="BE38" s="70">
        <v>0.72889055296154748</v>
      </c>
      <c r="BF38" s="70">
        <v>5.2991560035435592</v>
      </c>
      <c r="BG38" s="70">
        <v>0.41623679354534371</v>
      </c>
      <c r="BH38" s="70">
        <v>6.5714152198837805</v>
      </c>
      <c r="BI38" s="70">
        <v>2.9001930571664003</v>
      </c>
      <c r="BJ38" s="70">
        <v>3.3708340153153049</v>
      </c>
      <c r="BK38" s="70">
        <v>3.0704862804109334</v>
      </c>
      <c r="BL38" s="70">
        <v>-0.15382334964658684</v>
      </c>
      <c r="BM38" s="70">
        <v>0.32913852396252441</v>
      </c>
      <c r="BN38" s="70">
        <v>-0.3346703249912486</v>
      </c>
      <c r="BO38" s="70">
        <v>9.4780787006598644E-2</v>
      </c>
      <c r="BP38" s="70">
        <v>-2.0676656537070848</v>
      </c>
      <c r="BQ38" s="70">
        <v>-1.2176762612610359</v>
      </c>
      <c r="BR38" s="70">
        <v>2.9405676184723895E-2</v>
      </c>
      <c r="BS38" s="70">
        <v>0.82987705719352878</v>
      </c>
      <c r="BT38" s="70">
        <v>-0.36080391855648486</v>
      </c>
      <c r="BU38" s="70">
        <v>0.52895429905535085</v>
      </c>
      <c r="BV38" s="70">
        <v>0</v>
      </c>
      <c r="BW38" s="70">
        <v>-0.17434186491029902</v>
      </c>
      <c r="BX38" s="70">
        <v>0.27701091780532039</v>
      </c>
      <c r="BY38" s="70">
        <v>-0.94480584638594323</v>
      </c>
      <c r="BZ38" s="70">
        <v>-2.5284818447701696E-2</v>
      </c>
      <c r="CA38" s="70">
        <v>0</v>
      </c>
      <c r="CB38" s="70">
        <v>0</v>
      </c>
      <c r="CC38" s="70">
        <v>0</v>
      </c>
      <c r="CD38" s="70">
        <v>0</v>
      </c>
      <c r="CE38" s="70">
        <v>0</v>
      </c>
      <c r="CF38" s="70">
        <v>-1.2028898337087868</v>
      </c>
      <c r="CG38" s="70">
        <v>-0.55077625147347264</v>
      </c>
      <c r="CH38" s="70">
        <v>6.2773004261229559E-2</v>
      </c>
      <c r="CI38" s="70">
        <v>9.066399785959689E-2</v>
      </c>
      <c r="CJ38" s="70">
        <v>0.17189709039928669</v>
      </c>
      <c r="CK38" s="70">
        <v>0</v>
      </c>
      <c r="CL38" s="70">
        <v>0</v>
      </c>
      <c r="CM38" s="70">
        <v>0</v>
      </c>
      <c r="CN38" s="70">
        <v>-1.1245580268926303</v>
      </c>
      <c r="CO38" s="70">
        <v>0.13262102864257663</v>
      </c>
      <c r="CP38" s="70">
        <v>0</v>
      </c>
      <c r="CQ38" s="70">
        <v>-2.6641305990393604E-3</v>
      </c>
      <c r="CR38" s="70">
        <v>0.52819951598663817</v>
      </c>
      <c r="CS38" s="70">
        <v>9.4626675629805312E-2</v>
      </c>
      <c r="CT38" s="70">
        <v>3.6805142007456659E-2</v>
      </c>
      <c r="CU38" s="70">
        <v>0.27531194342917953</v>
      </c>
      <c r="CV38" s="70">
        <v>0</v>
      </c>
      <c r="CW38" s="70">
        <v>-0.55598827435245912</v>
      </c>
      <c r="CX38" s="70">
        <v>-0.55701058647010804</v>
      </c>
      <c r="CY38" s="70">
        <v>0</v>
      </c>
      <c r="CZ38" s="70">
        <v>0.49310743647363875</v>
      </c>
      <c r="DA38" s="70">
        <v>0</v>
      </c>
      <c r="DB38" s="70">
        <v>0</v>
      </c>
      <c r="DC38" s="70">
        <v>-0.32874603806474223</v>
      </c>
      <c r="DD38" s="70">
        <v>-4.6101794173347699E-2</v>
      </c>
      <c r="DE38" s="70">
        <v>4.7543329568977555E-2</v>
      </c>
      <c r="DF38" s="70">
        <v>0.29924055181116405</v>
      </c>
      <c r="DG38" s="46"/>
      <c r="DH38" s="46"/>
      <c r="DI38" s="46"/>
    </row>
    <row r="39" spans="1:113" ht="15.5" x14ac:dyDescent="0.35">
      <c r="A39" s="88"/>
      <c r="B39" s="80">
        <v>202</v>
      </c>
      <c r="C39" s="80" t="s">
        <v>110</v>
      </c>
      <c r="D39" s="13" t="s">
        <v>98</v>
      </c>
      <c r="E39" s="33">
        <f>VLOOKUP(C39,[1]CLASSI_EAI!A:G,7,FALSE)</f>
        <v>7.9440368859783304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1.3013932785773896</v>
      </c>
      <c r="V39" s="13">
        <v>-4.796613974733277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5.907715510561018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-1.3157067694611002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2.4490626566463725</v>
      </c>
      <c r="BC39" s="13">
        <v>0</v>
      </c>
      <c r="BD39" s="13">
        <v>1.7405613339578352</v>
      </c>
      <c r="BE39" s="13">
        <v>0.66921380557614096</v>
      </c>
      <c r="BF39" s="13">
        <v>1.8615292018466123</v>
      </c>
      <c r="BG39" s="13">
        <v>0</v>
      </c>
      <c r="BH39" s="13">
        <v>0</v>
      </c>
      <c r="BI39" s="13">
        <v>0</v>
      </c>
      <c r="BJ39" s="13">
        <v>0.75147530188026668</v>
      </c>
      <c r="BK39" s="13">
        <v>2.3256828019216025</v>
      </c>
      <c r="BL39" s="13">
        <v>1.2768644681411923</v>
      </c>
      <c r="BM39" s="13">
        <v>1.9391754201618427</v>
      </c>
      <c r="BN39" s="13">
        <v>-0.11155395905907417</v>
      </c>
      <c r="BO39" s="13">
        <v>0.25566914077110869</v>
      </c>
      <c r="BP39" s="13">
        <v>0</v>
      </c>
      <c r="BQ39" s="13">
        <v>-0.17409885812712522</v>
      </c>
      <c r="BR39" s="13">
        <v>0.16460725283715671</v>
      </c>
      <c r="BS39" s="13">
        <v>0</v>
      </c>
      <c r="BT39" s="13">
        <v>0</v>
      </c>
      <c r="BU39" s="13">
        <v>0</v>
      </c>
      <c r="BV39" s="13">
        <v>0</v>
      </c>
      <c r="BW39" s="13">
        <v>0.67446777214723586</v>
      </c>
      <c r="BX39" s="13">
        <v>1.5508205098842653</v>
      </c>
      <c r="BY39" s="13">
        <v>-0.65322701375257752</v>
      </c>
      <c r="BZ39" s="13">
        <v>-0.13936891573930188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-9.9408583412397E-3</v>
      </c>
      <c r="CO39" s="13">
        <v>0</v>
      </c>
      <c r="CP39" s="13">
        <v>0</v>
      </c>
      <c r="CQ39" s="13">
        <v>-1.2186820622678507</v>
      </c>
      <c r="CR39" s="13">
        <v>-0.72512470724168665</v>
      </c>
      <c r="CS39" s="13">
        <v>0</v>
      </c>
      <c r="CT39" s="13">
        <v>0.7258460838506231</v>
      </c>
      <c r="CU39" s="13">
        <v>-0.20996243107231916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-7.7552475276632116E-3</v>
      </c>
      <c r="DD39" s="13">
        <v>7.7558490129581159E-3</v>
      </c>
      <c r="DE39" s="13">
        <v>0</v>
      </c>
      <c r="DF39" s="13">
        <v>0</v>
      </c>
    </row>
    <row r="40" spans="1:113" ht="15.5" x14ac:dyDescent="0.35">
      <c r="A40" s="88"/>
      <c r="C40" s="80" t="s">
        <v>111</v>
      </c>
      <c r="D40" s="13" t="s">
        <v>100</v>
      </c>
      <c r="E40" s="33">
        <f>VLOOKUP(C40,[1]CLASSI_EAI!A:G,7,FALSE)</f>
        <v>21.936329819094301</v>
      </c>
      <c r="F40" s="13">
        <v>0.78130670381020284</v>
      </c>
      <c r="G40" s="13">
        <v>7.5707943703928748E-3</v>
      </c>
      <c r="H40" s="13">
        <v>0.19207989475920062</v>
      </c>
      <c r="I40" s="13">
        <v>-9.3595274976532306E-2</v>
      </c>
      <c r="J40" s="13">
        <v>0.21765040854406781</v>
      </c>
      <c r="K40" s="13">
        <v>3.8113786080673506E-2</v>
      </c>
      <c r="L40" s="13">
        <v>-2.1673949630592437</v>
      </c>
      <c r="M40" s="13">
        <v>0.68479270047028251</v>
      </c>
      <c r="N40" s="13">
        <v>-6.7866101545610569E-2</v>
      </c>
      <c r="O40" s="13">
        <v>6.1518966476826753</v>
      </c>
      <c r="P40" s="13">
        <v>-6.5976867829486974E-2</v>
      </c>
      <c r="Q40" s="13">
        <v>0.32952176593636917</v>
      </c>
      <c r="R40" s="13">
        <v>0.18410274665041637</v>
      </c>
      <c r="S40" s="13">
        <v>0.59795172267274044</v>
      </c>
      <c r="T40" s="13">
        <v>1.0345561218328081</v>
      </c>
      <c r="U40" s="13">
        <v>-0.24688009094079311</v>
      </c>
      <c r="V40" s="13">
        <v>-1.1902539135659085</v>
      </c>
      <c r="W40" s="13">
        <v>0.2414227766882826</v>
      </c>
      <c r="X40" s="13">
        <v>0.29292285232498383</v>
      </c>
      <c r="Y40" s="13">
        <v>0.72474749457389631</v>
      </c>
      <c r="Z40" s="13">
        <v>0.32253010650760139</v>
      </c>
      <c r="AA40" s="13">
        <v>0.45031981998473469</v>
      </c>
      <c r="AB40" s="13">
        <v>5.671327624865441E-2</v>
      </c>
      <c r="AC40" s="13">
        <v>-0.14485410195212989</v>
      </c>
      <c r="AD40" s="13">
        <v>-1.2476043280451599E-2</v>
      </c>
      <c r="AE40" s="13">
        <v>-4.8320898346092882</v>
      </c>
      <c r="AF40" s="13">
        <v>0.55932648060008638</v>
      </c>
      <c r="AG40" s="13">
        <v>-5.5054127202551761</v>
      </c>
      <c r="AH40" s="13">
        <v>-1.6507587370817589E-2</v>
      </c>
      <c r="AI40" s="13">
        <v>0.15035914375292059</v>
      </c>
      <c r="AJ40" s="13">
        <v>-0.3887622931299517</v>
      </c>
      <c r="AK40" s="13">
        <v>-0.82188594144021465</v>
      </c>
      <c r="AL40" s="13">
        <v>7.0010800891107117E-2</v>
      </c>
      <c r="AM40" s="13">
        <v>-0.13617533242378244</v>
      </c>
      <c r="AN40" s="13">
        <v>0.77189633605991848</v>
      </c>
      <c r="AO40" s="13">
        <v>0.32021834094204671</v>
      </c>
      <c r="AP40" s="13">
        <v>0.82276029119339178</v>
      </c>
      <c r="AQ40" s="13">
        <v>-0.21536752554071059</v>
      </c>
      <c r="AR40" s="13">
        <v>0.11898259291163171</v>
      </c>
      <c r="AS40" s="13">
        <v>-0.2238134909668954</v>
      </c>
      <c r="AT40" s="13">
        <v>0.9811192823430126</v>
      </c>
      <c r="AU40" s="13">
        <v>1.831362470008302</v>
      </c>
      <c r="AV40" s="13">
        <v>0.32288205299300099</v>
      </c>
      <c r="AW40" s="13">
        <v>3.7424766139397825</v>
      </c>
      <c r="AX40" s="13">
        <v>3.9514462303831266</v>
      </c>
      <c r="AY40" s="13">
        <v>1.1350627904000543</v>
      </c>
      <c r="AZ40" s="13">
        <v>1.8541726601151165</v>
      </c>
      <c r="BA40" s="13">
        <v>0.63915066360782369</v>
      </c>
      <c r="BB40" s="13">
        <v>4.7362330465275715</v>
      </c>
      <c r="BC40" s="13">
        <v>3.5019936182867362E-2</v>
      </c>
      <c r="BD40" s="13">
        <v>1.9266058314942436</v>
      </c>
      <c r="BE40" s="13">
        <v>0.94974439112576192</v>
      </c>
      <c r="BF40" s="13">
        <v>7.8291289825097143</v>
      </c>
      <c r="BG40" s="13">
        <v>0.6451462890395554</v>
      </c>
      <c r="BH40" s="13">
        <v>9.3364127519417028</v>
      </c>
      <c r="BI40" s="13">
        <v>4.3715118812817755</v>
      </c>
      <c r="BJ40" s="13">
        <v>4.8161694206707351</v>
      </c>
      <c r="BK40" s="13">
        <v>3.9255325760161108</v>
      </c>
      <c r="BL40" s="13">
        <v>-0.53414724229036148</v>
      </c>
      <c r="BM40" s="13">
        <v>0</v>
      </c>
      <c r="BN40" s="13">
        <v>-0.46175481987493772</v>
      </c>
      <c r="BO40" s="13">
        <v>0</v>
      </c>
      <c r="BP40" s="13">
        <v>-3.0335500055975739</v>
      </c>
      <c r="BQ40" s="13">
        <v>-1.7586913599080711</v>
      </c>
      <c r="BR40" s="13">
        <v>0</v>
      </c>
      <c r="BS40" s="13">
        <v>-0.97988057823223951</v>
      </c>
      <c r="BT40" s="13">
        <v>-0.59307994773739603</v>
      </c>
      <c r="BU40" s="13">
        <v>0.80474352832384799</v>
      </c>
      <c r="BV40" s="13">
        <v>0</v>
      </c>
      <c r="BW40" s="13">
        <v>0</v>
      </c>
      <c r="BX40" s="13">
        <v>0</v>
      </c>
      <c r="BY40" s="13">
        <v>-1.1333368077353301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-1.702463325527892</v>
      </c>
      <c r="CG40" s="13">
        <v>-0.84200710252881894</v>
      </c>
      <c r="CH40" s="13">
        <v>9.6246984858217033E-2</v>
      </c>
      <c r="CI40" s="13">
        <v>0.13896448569385988</v>
      </c>
      <c r="CJ40" s="13">
        <v>0.26334674745907005</v>
      </c>
      <c r="CK40" s="13">
        <v>0</v>
      </c>
      <c r="CL40" s="13">
        <v>0</v>
      </c>
      <c r="CM40" s="13">
        <v>0</v>
      </c>
      <c r="CN40" s="13">
        <v>-1.7184569414731232</v>
      </c>
      <c r="CO40" s="13">
        <v>0.20421704992272804</v>
      </c>
      <c r="CP40" s="13">
        <v>0</v>
      </c>
      <c r="CQ40" s="13">
        <v>0.34407173895185661</v>
      </c>
      <c r="CR40" s="13">
        <v>1.0138986335990197</v>
      </c>
      <c r="CS40" s="13">
        <v>0.14440633820351767</v>
      </c>
      <c r="CT40" s="13">
        <v>-0.14419810699743962</v>
      </c>
      <c r="CU40" s="13">
        <v>0.47915153648319109</v>
      </c>
      <c r="CV40" s="13">
        <v>0</v>
      </c>
      <c r="CW40" s="13">
        <v>-0.84786546282784592</v>
      </c>
      <c r="CX40" s="13">
        <v>-0.85192493508905454</v>
      </c>
      <c r="CY40" s="13">
        <v>0</v>
      </c>
      <c r="CZ40" s="13">
        <v>0.75643099703361916</v>
      </c>
      <c r="DA40" s="13">
        <v>0</v>
      </c>
      <c r="DB40" s="13">
        <v>0</v>
      </c>
      <c r="DC40" s="13">
        <v>-0.5008163734456339</v>
      </c>
      <c r="DD40" s="13">
        <v>-7.2833469611222057E-2</v>
      </c>
      <c r="DE40" s="13">
        <v>7.2886555418416599E-2</v>
      </c>
      <c r="DF40" s="13">
        <v>0.45863614882803994</v>
      </c>
    </row>
    <row r="41" spans="1:113" ht="15.5" x14ac:dyDescent="0.35">
      <c r="A41" s="88"/>
      <c r="C41" s="80" t="s">
        <v>112</v>
      </c>
      <c r="D41" s="13" t="s">
        <v>101</v>
      </c>
      <c r="E41" s="33">
        <f>VLOOKUP(C41,[1]CLASSI_EAI!A:G,7,FALSE)</f>
        <v>6.6073233587270499</v>
      </c>
      <c r="F41" s="13">
        <v>4.0640830332061562E-2</v>
      </c>
      <c r="G41" s="13">
        <v>-0.1193946695598358</v>
      </c>
      <c r="H41" s="13">
        <v>4.0865444780147087E-2</v>
      </c>
      <c r="I41" s="13">
        <v>0</v>
      </c>
      <c r="J41" s="13">
        <v>0</v>
      </c>
      <c r="K41" s="13">
        <v>-4.0848751756050738E-2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5.7973110268858097</v>
      </c>
      <c r="T41" s="13">
        <v>4.2699766272802364E-2</v>
      </c>
      <c r="U41" s="13">
        <v>0</v>
      </c>
      <c r="V41" s="13">
        <v>0</v>
      </c>
      <c r="W41" s="13">
        <v>0.15947097113540032</v>
      </c>
      <c r="X41" s="13">
        <v>5.3617206098977022E-2</v>
      </c>
      <c r="Y41" s="13">
        <v>0</v>
      </c>
      <c r="Z41" s="13">
        <v>9.215002576432596E-2</v>
      </c>
      <c r="AA41" s="13">
        <v>9.744958317852026</v>
      </c>
      <c r="AB41" s="13">
        <v>0</v>
      </c>
      <c r="AC41" s="13">
        <v>0</v>
      </c>
      <c r="AD41" s="13">
        <v>0</v>
      </c>
      <c r="AE41" s="13">
        <v>8.2129131753028162E-2</v>
      </c>
      <c r="AF41" s="13">
        <v>0</v>
      </c>
      <c r="AG41" s="13">
        <v>4.4244228373035988E-2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2.2329609856686083E-2</v>
      </c>
      <c r="AW41" s="13">
        <v>-1.603219037977488</v>
      </c>
      <c r="AX41" s="13">
        <v>0</v>
      </c>
      <c r="AY41" s="13">
        <v>-2.2478162033950033</v>
      </c>
      <c r="AZ41" s="13">
        <v>0</v>
      </c>
      <c r="BA41" s="13">
        <v>0</v>
      </c>
      <c r="BB41" s="13">
        <v>0</v>
      </c>
      <c r="BC41" s="13">
        <v>2.2329609856686083E-2</v>
      </c>
      <c r="BD41" s="13">
        <v>-7.9248684346411302E-2</v>
      </c>
      <c r="BE41" s="13">
        <v>0</v>
      </c>
      <c r="BF41" s="13">
        <v>0</v>
      </c>
      <c r="BG41" s="13">
        <v>0</v>
      </c>
      <c r="BH41" s="13">
        <v>3.2619607309662069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0.34910914403276649</v>
      </c>
      <c r="BP41" s="13">
        <v>0</v>
      </c>
      <c r="BQ41" s="13">
        <v>0</v>
      </c>
      <c r="BR41" s="13">
        <v>0</v>
      </c>
      <c r="BS41" s="13">
        <v>9.9069047330738513</v>
      </c>
      <c r="BT41" s="13">
        <v>0.18332051883063194</v>
      </c>
      <c r="BU41" s="13">
        <v>-5.3084896044497398E-4</v>
      </c>
      <c r="BV41" s="13">
        <v>0</v>
      </c>
      <c r="BW41" s="13">
        <v>-1.7950126322378801</v>
      </c>
      <c r="BX41" s="13">
        <v>0</v>
      </c>
      <c r="BY41" s="13">
        <v>-0.50008853795117103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-0.51823325214958027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</row>
    <row r="42" spans="1:113" ht="15.5" x14ac:dyDescent="0.35">
      <c r="A42" s="83">
        <v>21</v>
      </c>
      <c r="B42" s="83"/>
      <c r="C42" s="83"/>
      <c r="D42" s="45" t="s">
        <v>22</v>
      </c>
      <c r="E42" s="48">
        <f>E43</f>
        <v>73.679830723938096</v>
      </c>
      <c r="F42" s="70">
        <v>-0.51473422251837597</v>
      </c>
      <c r="G42" s="70">
        <v>6.985712413229983E-2</v>
      </c>
      <c r="H42" s="70">
        <v>-6.2781767187181092E-2</v>
      </c>
      <c r="I42" s="70">
        <v>0.30393516157780631</v>
      </c>
      <c r="J42" s="70">
        <v>2.1887751504712227E-2</v>
      </c>
      <c r="K42" s="70">
        <v>0.53643964009693068</v>
      </c>
      <c r="L42" s="70">
        <v>2.7604483798460144E-2</v>
      </c>
      <c r="M42" s="70">
        <v>-0.27105381938296036</v>
      </c>
      <c r="N42" s="70">
        <v>0.13534039593434688</v>
      </c>
      <c r="O42" s="70">
        <v>5.1306304329701291E-3</v>
      </c>
      <c r="P42" s="70">
        <v>0.17458553526983334</v>
      </c>
      <c r="Q42" s="70">
        <v>1.622040516311718</v>
      </c>
      <c r="R42" s="70">
        <v>0.82419314747619321</v>
      </c>
      <c r="S42" s="70">
        <v>0.1488260975111233</v>
      </c>
      <c r="T42" s="70">
        <v>2.3528000947592664</v>
      </c>
      <c r="U42" s="70">
        <v>-9.0161564067126054E-2</v>
      </c>
      <c r="V42" s="70">
        <v>-0.22209379558700837</v>
      </c>
      <c r="W42" s="70">
        <v>-0.44481622830596645</v>
      </c>
      <c r="X42" s="70">
        <v>0.12054975587083572</v>
      </c>
      <c r="Y42" s="70">
        <v>-0.17507752918836106</v>
      </c>
      <c r="Z42" s="70">
        <v>0.98661151558039339</v>
      </c>
      <c r="AA42" s="70">
        <v>0.18111078533813441</v>
      </c>
      <c r="AB42" s="70">
        <v>-0.40185658822607939</v>
      </c>
      <c r="AC42" s="70">
        <v>-0.62540300003217641</v>
      </c>
      <c r="AD42" s="70">
        <v>-0.10085826403312126</v>
      </c>
      <c r="AE42" s="70">
        <v>7.1761456062713336E-2</v>
      </c>
      <c r="AF42" s="70">
        <v>-1.9063400993847179</v>
      </c>
      <c r="AG42" s="70">
        <v>0.89150999973730549</v>
      </c>
      <c r="AH42" s="70">
        <v>0.53341875610342093</v>
      </c>
      <c r="AI42" s="70">
        <v>-0.12430058606972549</v>
      </c>
      <c r="AJ42" s="70">
        <v>0.28118113386190746</v>
      </c>
      <c r="AK42" s="70">
        <v>0.12484109117589792</v>
      </c>
      <c r="AL42" s="70">
        <v>2.2115027603484272</v>
      </c>
      <c r="AM42" s="70">
        <v>0.92952431438872996</v>
      </c>
      <c r="AN42" s="70">
        <v>6.2292481819326007E-2</v>
      </c>
      <c r="AO42" s="70">
        <v>3.9261099359457319</v>
      </c>
      <c r="AP42" s="70">
        <v>-0.65752650190440409</v>
      </c>
      <c r="AQ42" s="70">
        <v>-0.27634924944991424</v>
      </c>
      <c r="AR42" s="70">
        <v>5.6063036433240399E-4</v>
      </c>
      <c r="AS42" s="70">
        <v>-3.787944714854774E-2</v>
      </c>
      <c r="AT42" s="70">
        <v>-5.4386024514518905E-2</v>
      </c>
      <c r="AU42" s="70">
        <v>-0.2613951282932736</v>
      </c>
      <c r="AV42" s="70">
        <v>0.40398812432966835</v>
      </c>
      <c r="AW42" s="70">
        <v>-0.27135879969898413</v>
      </c>
      <c r="AX42" s="70">
        <v>-0.3078724206602379</v>
      </c>
      <c r="AY42" s="70">
        <v>-0.32974152707692106</v>
      </c>
      <c r="AZ42" s="70">
        <v>-1.0828129341431292</v>
      </c>
      <c r="BA42" s="70">
        <v>0.14456266591331701</v>
      </c>
      <c r="BB42" s="70">
        <v>0.27114859105106248</v>
      </c>
      <c r="BC42" s="70">
        <v>-0.29989615415254578</v>
      </c>
      <c r="BD42" s="70">
        <v>-0.11771053832397849</v>
      </c>
      <c r="BE42" s="70">
        <v>0.37130063083723464</v>
      </c>
      <c r="BF42" s="70">
        <v>0.2013043727685293</v>
      </c>
      <c r="BG42" s="70">
        <v>-0.16061597359658952</v>
      </c>
      <c r="BH42" s="70">
        <v>1.2835307074739344</v>
      </c>
      <c r="BI42" s="70">
        <v>2.6766804565614422E-2</v>
      </c>
      <c r="BJ42" s="70">
        <v>0.50263258816194423</v>
      </c>
      <c r="BK42" s="70">
        <v>2.2406071746490008</v>
      </c>
      <c r="BL42" s="70">
        <v>1.3145671848428631</v>
      </c>
      <c r="BM42" s="70">
        <v>1.3378732284854644</v>
      </c>
      <c r="BN42" s="70">
        <v>0.76736909555950028</v>
      </c>
      <c r="BO42" s="70">
        <v>1.0138302998164317</v>
      </c>
      <c r="BP42" s="70">
        <v>-0.1759467163109929</v>
      </c>
      <c r="BQ42" s="70">
        <v>-1.7337978570730606E-2</v>
      </c>
      <c r="BR42" s="70">
        <v>0.89759451897983844</v>
      </c>
      <c r="BS42" s="70">
        <v>-0.40636004703349382</v>
      </c>
      <c r="BT42" s="70">
        <v>-0.33971757358488563</v>
      </c>
      <c r="BU42" s="70">
        <v>-0.19428174190283531</v>
      </c>
      <c r="BV42" s="70">
        <v>0.19394187998773571</v>
      </c>
      <c r="BW42" s="70">
        <v>7.6191777529377447E-3</v>
      </c>
      <c r="BX42" s="70">
        <v>-0.97387829780927193</v>
      </c>
      <c r="BY42" s="70">
        <v>-1.3589772256634602</v>
      </c>
      <c r="BZ42" s="70">
        <v>-2.381708432082108</v>
      </c>
      <c r="CA42" s="70">
        <v>0.16616100479325269</v>
      </c>
      <c r="CB42" s="70">
        <v>0.28845221200666238</v>
      </c>
      <c r="CC42" s="70">
        <v>0.10286510668990889</v>
      </c>
      <c r="CD42" s="70">
        <v>0.15334866374678846</v>
      </c>
      <c r="CE42" s="70">
        <v>-7.9401063755590862E-3</v>
      </c>
      <c r="CF42" s="70">
        <v>0.30133343919829247</v>
      </c>
      <c r="CG42" s="70">
        <v>0.39137071012211866</v>
      </c>
      <c r="CH42" s="70">
        <v>0.6729352031999758</v>
      </c>
      <c r="CI42" s="70">
        <v>-0.41345844178053426</v>
      </c>
      <c r="CJ42" s="70">
        <v>-0.17961066763617639</v>
      </c>
      <c r="CK42" s="70">
        <v>-0.25625015848405042</v>
      </c>
      <c r="CL42" s="70">
        <v>-0.59501840290254737</v>
      </c>
      <c r="CM42" s="70">
        <v>-1.3527165600962232</v>
      </c>
      <c r="CN42" s="70">
        <v>-0.28776683681552839</v>
      </c>
      <c r="CO42" s="70">
        <v>-0.25690516927825424</v>
      </c>
      <c r="CP42" s="70">
        <v>-0.24336473186509222</v>
      </c>
      <c r="CQ42" s="70">
        <v>-1.3184346729052998</v>
      </c>
      <c r="CR42" s="70">
        <v>0.14812795166838644</v>
      </c>
      <c r="CS42" s="70">
        <v>1.6598695677070507</v>
      </c>
      <c r="CT42" s="70">
        <v>-0.63720074697912743</v>
      </c>
      <c r="CU42" s="70">
        <v>-0.31832459649709932</v>
      </c>
      <c r="CV42" s="70">
        <v>-9.6826270666927616E-2</v>
      </c>
      <c r="CW42" s="70">
        <v>-0.28622085073580772</v>
      </c>
      <c r="CX42" s="70">
        <v>-0.11716262297047919</v>
      </c>
      <c r="CY42" s="70">
        <v>-0.13840839551413353</v>
      </c>
      <c r="CZ42" s="70">
        <v>-0.34665222396781381</v>
      </c>
      <c r="DA42" s="70">
        <v>-0.881230770167718</v>
      </c>
      <c r="DB42" s="70">
        <v>0.69412890225386548</v>
      </c>
      <c r="DC42" s="70">
        <v>5.4378567260204846E-4</v>
      </c>
      <c r="DD42" s="70">
        <v>0.87606797666892611</v>
      </c>
      <c r="DE42" s="70">
        <v>3.7344232055391835E-2</v>
      </c>
      <c r="DF42" s="70">
        <v>1.3445432908134825</v>
      </c>
      <c r="DG42" s="46"/>
      <c r="DH42" s="46"/>
      <c r="DI42" s="46"/>
    </row>
    <row r="43" spans="1:113" ht="15.5" x14ac:dyDescent="0.35">
      <c r="A43" s="88"/>
      <c r="B43" s="80">
        <v>210</v>
      </c>
      <c r="C43" s="80" t="s">
        <v>113</v>
      </c>
      <c r="D43" s="13" t="s">
        <v>114</v>
      </c>
      <c r="E43" s="33">
        <f>VLOOKUP(C43,[1]CLASSI_EAI!A:G,7,FALSE)</f>
        <v>73.679830723938096</v>
      </c>
      <c r="F43" s="13">
        <v>-0.51473422251837597</v>
      </c>
      <c r="G43" s="13">
        <v>6.985712413229983E-2</v>
      </c>
      <c r="H43" s="13">
        <v>-6.2781767187181092E-2</v>
      </c>
      <c r="I43" s="13">
        <v>0.30393516157780631</v>
      </c>
      <c r="J43" s="13">
        <v>2.1887751504712227E-2</v>
      </c>
      <c r="K43" s="13">
        <v>0.53643964009693068</v>
      </c>
      <c r="L43" s="13">
        <v>2.7604483798460144E-2</v>
      </c>
      <c r="M43" s="13">
        <v>-0.27105381938296036</v>
      </c>
      <c r="N43" s="13">
        <v>0.13534039593434688</v>
      </c>
      <c r="O43" s="13">
        <v>5.1306304329701291E-3</v>
      </c>
      <c r="P43" s="13">
        <v>0.17458553526983334</v>
      </c>
      <c r="Q43" s="13">
        <v>1.622040516311718</v>
      </c>
      <c r="R43" s="13">
        <v>0.82419314747619321</v>
      </c>
      <c r="S43" s="13">
        <v>0.1488260975111233</v>
      </c>
      <c r="T43" s="13">
        <v>2.3528000947592664</v>
      </c>
      <c r="U43" s="13">
        <v>-9.0161564067126054E-2</v>
      </c>
      <c r="V43" s="13">
        <v>-0.22209379558700837</v>
      </c>
      <c r="W43" s="13">
        <v>-0.44481622830596645</v>
      </c>
      <c r="X43" s="13">
        <v>0.12054975587083572</v>
      </c>
      <c r="Y43" s="13">
        <v>-0.17507752918836106</v>
      </c>
      <c r="Z43" s="13">
        <v>0.98661151558039339</v>
      </c>
      <c r="AA43" s="13">
        <v>0.18111078533813441</v>
      </c>
      <c r="AB43" s="13">
        <v>-0.40185658822607939</v>
      </c>
      <c r="AC43" s="13">
        <v>-0.62540300003217641</v>
      </c>
      <c r="AD43" s="13">
        <v>-0.10085826403312126</v>
      </c>
      <c r="AE43" s="13">
        <v>7.1761456062713336E-2</v>
      </c>
      <c r="AF43" s="13">
        <v>-1.9063400993847179</v>
      </c>
      <c r="AG43" s="13">
        <v>0.89150999973730549</v>
      </c>
      <c r="AH43" s="13">
        <v>0.53341875610342093</v>
      </c>
      <c r="AI43" s="13">
        <v>-0.12430058606972549</v>
      </c>
      <c r="AJ43" s="13">
        <v>0.28118113386190746</v>
      </c>
      <c r="AK43" s="13">
        <v>0.12484109117589792</v>
      </c>
      <c r="AL43" s="13">
        <v>2.2115027603484272</v>
      </c>
      <c r="AM43" s="13">
        <v>0.92952431438872996</v>
      </c>
      <c r="AN43" s="13">
        <v>6.2292481819326007E-2</v>
      </c>
      <c r="AO43" s="13">
        <v>3.9261099359457319</v>
      </c>
      <c r="AP43" s="13">
        <v>-0.65752650190440409</v>
      </c>
      <c r="AQ43" s="13">
        <v>-0.27634924944991424</v>
      </c>
      <c r="AR43" s="13">
        <v>5.6063036433240399E-4</v>
      </c>
      <c r="AS43" s="13">
        <v>-3.787944714854774E-2</v>
      </c>
      <c r="AT43" s="13">
        <v>-5.4386024514518905E-2</v>
      </c>
      <c r="AU43" s="13">
        <v>-0.2613951282932736</v>
      </c>
      <c r="AV43" s="13">
        <v>0.40398812432966835</v>
      </c>
      <c r="AW43" s="13">
        <v>-0.27135879969898413</v>
      </c>
      <c r="AX43" s="13">
        <v>-0.3078724206602379</v>
      </c>
      <c r="AY43" s="13">
        <v>-0.32974152707692106</v>
      </c>
      <c r="AZ43" s="13">
        <v>-1.0828129341431292</v>
      </c>
      <c r="BA43" s="13">
        <v>0.14456266591331701</v>
      </c>
      <c r="BB43" s="13">
        <v>0.27114859105106248</v>
      </c>
      <c r="BC43" s="13">
        <v>-0.29989615415254578</v>
      </c>
      <c r="BD43" s="13">
        <v>-0.11771053832397849</v>
      </c>
      <c r="BE43" s="13">
        <v>0.37130063083723464</v>
      </c>
      <c r="BF43" s="13">
        <v>0.2013043727685293</v>
      </c>
      <c r="BG43" s="13">
        <v>-0.16061597359658952</v>
      </c>
      <c r="BH43" s="13">
        <v>1.2835307074739344</v>
      </c>
      <c r="BI43" s="13">
        <v>2.6766804565614422E-2</v>
      </c>
      <c r="BJ43" s="13">
        <v>0.50263258816194423</v>
      </c>
      <c r="BK43" s="13">
        <v>2.2406071746490008</v>
      </c>
      <c r="BL43" s="13">
        <v>1.3145671848428631</v>
      </c>
      <c r="BM43" s="13">
        <v>1.3378732284854644</v>
      </c>
      <c r="BN43" s="13">
        <v>0.76736909555950028</v>
      </c>
      <c r="BO43" s="13">
        <v>1.0138302998164317</v>
      </c>
      <c r="BP43" s="13">
        <v>-0.1759467163109929</v>
      </c>
      <c r="BQ43" s="13">
        <v>-1.7337978570730606E-2</v>
      </c>
      <c r="BR43" s="13">
        <v>0.89759451897983844</v>
      </c>
      <c r="BS43" s="13">
        <v>-0.40636004703349382</v>
      </c>
      <c r="BT43" s="13">
        <v>-0.33971757358488563</v>
      </c>
      <c r="BU43" s="13">
        <v>-0.19428174190283531</v>
      </c>
      <c r="BV43" s="13">
        <v>0.19394187998773571</v>
      </c>
      <c r="BW43" s="13">
        <v>7.6191777529377447E-3</v>
      </c>
      <c r="BX43" s="13">
        <v>-0.97387829780927193</v>
      </c>
      <c r="BY43" s="13">
        <v>-1.3589772256634602</v>
      </c>
      <c r="BZ43" s="13">
        <v>-2.381708432082108</v>
      </c>
      <c r="CA43" s="13">
        <v>0.16616100479325269</v>
      </c>
      <c r="CB43" s="13">
        <v>0.28845221200666238</v>
      </c>
      <c r="CC43" s="13">
        <v>0.10286510668990889</v>
      </c>
      <c r="CD43" s="13">
        <v>0.15334866374678846</v>
      </c>
      <c r="CE43" s="13">
        <v>-7.9401063755590862E-3</v>
      </c>
      <c r="CF43" s="13">
        <v>0.30133343919829247</v>
      </c>
      <c r="CG43" s="13">
        <v>0.39137071012211866</v>
      </c>
      <c r="CH43" s="13">
        <v>0.6729352031999758</v>
      </c>
      <c r="CI43" s="13">
        <v>-0.41345844178053426</v>
      </c>
      <c r="CJ43" s="13">
        <v>-0.17961066763617639</v>
      </c>
      <c r="CK43" s="13">
        <v>-0.25625015848405042</v>
      </c>
      <c r="CL43" s="13">
        <v>-0.59501840290254737</v>
      </c>
      <c r="CM43" s="13">
        <v>-1.3527165600962232</v>
      </c>
      <c r="CN43" s="13">
        <v>-0.28776683681552839</v>
      </c>
      <c r="CO43" s="13">
        <v>-0.25690516927825424</v>
      </c>
      <c r="CP43" s="13">
        <v>-0.24336473186509222</v>
      </c>
      <c r="CQ43" s="13">
        <v>-1.3184346729052998</v>
      </c>
      <c r="CR43" s="13">
        <v>0.14812795166838644</v>
      </c>
      <c r="CS43" s="13">
        <v>1.6598695677070507</v>
      </c>
      <c r="CT43" s="13">
        <v>-0.63720074697912743</v>
      </c>
      <c r="CU43" s="13">
        <v>-0.31832459649709932</v>
      </c>
      <c r="CV43" s="13">
        <v>-9.6826270666927616E-2</v>
      </c>
      <c r="CW43" s="13">
        <v>-0.28622085073580772</v>
      </c>
      <c r="CX43" s="13">
        <v>-0.11716262297047919</v>
      </c>
      <c r="CY43" s="13">
        <v>-0.13840839551413353</v>
      </c>
      <c r="CZ43" s="13">
        <v>-0.34665222396781381</v>
      </c>
      <c r="DA43" s="13">
        <v>-0.881230770167718</v>
      </c>
      <c r="DB43" s="13">
        <v>0.69412890225386548</v>
      </c>
      <c r="DC43" s="13">
        <v>5.4378567260204846E-4</v>
      </c>
      <c r="DD43" s="13">
        <v>0.87606797666892611</v>
      </c>
      <c r="DE43" s="13">
        <v>3.7344232055391835E-2</v>
      </c>
      <c r="DF43" s="13">
        <v>1.3445432908134825</v>
      </c>
    </row>
    <row r="44" spans="1:113" ht="15.5" x14ac:dyDescent="0.35">
      <c r="A44" s="83">
        <v>22</v>
      </c>
      <c r="B44" s="83"/>
      <c r="C44" s="83"/>
      <c r="D44" s="45" t="s">
        <v>23</v>
      </c>
      <c r="E44" s="48">
        <f>E45</f>
        <v>26.9776838755276</v>
      </c>
      <c r="F44" s="70">
        <v>0.2524033111629187</v>
      </c>
      <c r="G44" s="70">
        <v>1.597142981157873E-3</v>
      </c>
      <c r="H44" s="70">
        <v>0</v>
      </c>
      <c r="I44" s="70">
        <v>0</v>
      </c>
      <c r="J44" s="70">
        <v>-9.4198277216572812E-3</v>
      </c>
      <c r="K44" s="70">
        <v>9.6458251509479176E-2</v>
      </c>
      <c r="L44" s="70">
        <v>0.2419138806426524</v>
      </c>
      <c r="M44" s="70">
        <v>0</v>
      </c>
      <c r="N44" s="70">
        <v>5.2220936848645927E-2</v>
      </c>
      <c r="O44" s="70">
        <v>3.6567136706714853</v>
      </c>
      <c r="P44" s="70">
        <v>2.7685319494130667E-2</v>
      </c>
      <c r="Q44" s="70">
        <v>0.92968798215355974</v>
      </c>
      <c r="R44" s="70">
        <v>1.3759028761208381</v>
      </c>
      <c r="S44" s="70">
        <v>-1.6255216863914068E-2</v>
      </c>
      <c r="T44" s="70">
        <v>-0.45933009854195461</v>
      </c>
      <c r="U44" s="70">
        <v>-0.21501742901204324</v>
      </c>
      <c r="V44" s="70">
        <v>2.8445795908349503E-2</v>
      </c>
      <c r="W44" s="70">
        <v>-0.1535535585519443</v>
      </c>
      <c r="X44" s="70">
        <v>0</v>
      </c>
      <c r="Y44" s="70">
        <v>-1.1285349252539101</v>
      </c>
      <c r="Z44" s="70">
        <v>4.023375421822184E-2</v>
      </c>
      <c r="AA44" s="70">
        <v>-0.97355846469400209</v>
      </c>
      <c r="AB44" s="70">
        <v>-1.3840240079143751E-2</v>
      </c>
      <c r="AC44" s="70">
        <v>-0.55515426313327287</v>
      </c>
      <c r="AD44" s="70">
        <v>-0.42807003411770017</v>
      </c>
      <c r="AE44" s="70">
        <v>2.0256051424816235E-2</v>
      </c>
      <c r="AF44" s="70">
        <v>-0.31059628453622423</v>
      </c>
      <c r="AG44" s="70">
        <v>-0.13158124319431197</v>
      </c>
      <c r="AH44" s="70">
        <v>7.3758770379850347E-3</v>
      </c>
      <c r="AI44" s="70">
        <v>0</v>
      </c>
      <c r="AJ44" s="70">
        <v>-0.33557611868814119</v>
      </c>
      <c r="AK44" s="70">
        <v>0</v>
      </c>
      <c r="AL44" s="70">
        <v>0</v>
      </c>
      <c r="AM44" s="70">
        <v>-1.7207880668474895</v>
      </c>
      <c r="AN44" s="70">
        <v>1.0612460634384924E-2</v>
      </c>
      <c r="AO44" s="70">
        <v>0</v>
      </c>
      <c r="AP44" s="70">
        <v>0.12338624119347941</v>
      </c>
      <c r="AQ44" s="70">
        <v>0</v>
      </c>
      <c r="AR44" s="70">
        <v>0</v>
      </c>
      <c r="AS44" s="70">
        <v>0</v>
      </c>
      <c r="AT44" s="70">
        <v>0</v>
      </c>
      <c r="AU44" s="70">
        <v>0.73696261279245778</v>
      </c>
      <c r="AV44" s="70">
        <v>2.6398678825134692</v>
      </c>
      <c r="AW44" s="70">
        <v>0</v>
      </c>
      <c r="AX44" s="70">
        <v>0</v>
      </c>
      <c r="AY44" s="70">
        <v>2.6831290945694697E-2</v>
      </c>
      <c r="AZ44" s="70">
        <v>0</v>
      </c>
      <c r="BA44" s="70">
        <v>-4.989677381017632E-3</v>
      </c>
      <c r="BB44" s="70">
        <v>2.1995664201357457E-2</v>
      </c>
      <c r="BC44" s="70">
        <v>5.7417896261346968E-3</v>
      </c>
      <c r="BD44" s="70">
        <v>0.42501094370419601</v>
      </c>
      <c r="BE44" s="70">
        <v>3.5807742943972709</v>
      </c>
      <c r="BF44" s="70">
        <v>0</v>
      </c>
      <c r="BG44" s="70">
        <v>0.1508749650394714</v>
      </c>
      <c r="BH44" s="70">
        <v>0.1863867638235428</v>
      </c>
      <c r="BI44" s="70">
        <v>-0.66898089066207422</v>
      </c>
      <c r="BJ44" s="70">
        <v>0.33192356887528085</v>
      </c>
      <c r="BK44" s="70">
        <v>-9.9296036184426395E-2</v>
      </c>
      <c r="BL44" s="70">
        <v>0.36074493704654209</v>
      </c>
      <c r="BM44" s="70">
        <v>1.3127869325657571</v>
      </c>
      <c r="BN44" s="70">
        <v>0.38798837227065341</v>
      </c>
      <c r="BO44" s="70">
        <v>0</v>
      </c>
      <c r="BP44" s="70">
        <v>0</v>
      </c>
      <c r="BQ44" s="70">
        <v>0.18701161049519133</v>
      </c>
      <c r="BR44" s="70">
        <v>0</v>
      </c>
      <c r="BS44" s="70">
        <v>1.0663044456302506</v>
      </c>
      <c r="BT44" s="70">
        <v>0.41604093197533665</v>
      </c>
      <c r="BU44" s="70">
        <v>1.8290903050610652E-3</v>
      </c>
      <c r="BV44" s="70">
        <v>-0.93510884026454244</v>
      </c>
      <c r="BW44" s="70">
        <v>0</v>
      </c>
      <c r="BX44" s="70">
        <v>0</v>
      </c>
      <c r="BY44" s="70">
        <v>-0.95157585862049032</v>
      </c>
      <c r="BZ44" s="70">
        <v>6.195655359395591E-2</v>
      </c>
      <c r="CA44" s="70">
        <v>0</v>
      </c>
      <c r="CB44" s="70">
        <v>-7.5101359660323386E-2</v>
      </c>
      <c r="CC44" s="70">
        <v>-0.40179384971820165</v>
      </c>
      <c r="CD44" s="70">
        <v>0</v>
      </c>
      <c r="CE44" s="70">
        <v>1.308438285874125E-3</v>
      </c>
      <c r="CF44" s="70">
        <v>-0.11593604757907938</v>
      </c>
      <c r="CG44" s="70">
        <v>-1.4437484511071852</v>
      </c>
      <c r="CH44" s="70">
        <v>0</v>
      </c>
      <c r="CI44" s="70">
        <v>2.0098839959170611E-2</v>
      </c>
      <c r="CJ44" s="70">
        <v>0</v>
      </c>
      <c r="CK44" s="70">
        <v>2.8204222293148895E-2</v>
      </c>
      <c r="CL44" s="70">
        <v>0</v>
      </c>
      <c r="CM44" s="70">
        <v>-6.4672820572209133E-4</v>
      </c>
      <c r="CN44" s="70">
        <v>-4.4789560605262846E-2</v>
      </c>
      <c r="CO44" s="70">
        <v>0</v>
      </c>
      <c r="CP44" s="70">
        <v>4.611865523416192E-2</v>
      </c>
      <c r="CQ44" s="70">
        <v>6.5713548286017165E-2</v>
      </c>
      <c r="CR44" s="70">
        <v>7.0583560539261292E-2</v>
      </c>
      <c r="CS44" s="70">
        <v>-3.0289058832888571E-2</v>
      </c>
      <c r="CT44" s="70">
        <v>5.6951874156152549E-2</v>
      </c>
      <c r="CU44" s="70">
        <v>-0.26374962097437393</v>
      </c>
      <c r="CV44" s="70">
        <v>-0.30415635111765704</v>
      </c>
      <c r="CW44" s="70">
        <v>0</v>
      </c>
      <c r="CX44" s="70">
        <v>0</v>
      </c>
      <c r="CY44" s="70">
        <v>-0.44695331130280014</v>
      </c>
      <c r="CZ44" s="70">
        <v>-3.9619096526966047E-2</v>
      </c>
      <c r="DA44" s="70">
        <v>0</v>
      </c>
      <c r="DB44" s="70">
        <v>0</v>
      </c>
      <c r="DC44" s="70">
        <v>-5.7198138473379956E-4</v>
      </c>
      <c r="DD44" s="70">
        <v>0.26489172324630772</v>
      </c>
      <c r="DE44" s="70">
        <v>0</v>
      </c>
      <c r="DF44" s="70">
        <v>0.23067647797949675</v>
      </c>
      <c r="DG44" s="46"/>
      <c r="DH44" s="46"/>
      <c r="DI44" s="46"/>
    </row>
    <row r="45" spans="1:113" ht="15.5" x14ac:dyDescent="0.35">
      <c r="A45" s="88"/>
      <c r="B45" s="80">
        <v>220</v>
      </c>
      <c r="C45" s="80">
        <v>2220</v>
      </c>
      <c r="D45" s="13" t="s">
        <v>117</v>
      </c>
      <c r="E45" s="33">
        <f>[1]CLASSI_EAI!G685</f>
        <v>26.9776838755276</v>
      </c>
      <c r="F45" s="13">
        <v>0.2524033111629187</v>
      </c>
      <c r="G45" s="13">
        <v>1.597142981157873E-3</v>
      </c>
      <c r="H45" s="13">
        <v>0</v>
      </c>
      <c r="I45" s="13">
        <v>0</v>
      </c>
      <c r="J45" s="13">
        <v>-9.4198277216572812E-3</v>
      </c>
      <c r="K45" s="13">
        <v>9.6458251509479176E-2</v>
      </c>
      <c r="L45" s="13">
        <v>0.2419138806426524</v>
      </c>
      <c r="M45" s="13">
        <v>0</v>
      </c>
      <c r="N45" s="13">
        <v>5.2220936848645927E-2</v>
      </c>
      <c r="O45" s="13">
        <v>3.6567136706714853</v>
      </c>
      <c r="P45" s="13">
        <v>2.7685319494130667E-2</v>
      </c>
      <c r="Q45" s="13">
        <v>0.92968798215355974</v>
      </c>
      <c r="R45" s="13">
        <v>1.3759028761208381</v>
      </c>
      <c r="S45" s="13">
        <v>-1.6255216863914068E-2</v>
      </c>
      <c r="T45" s="13">
        <v>-0.45933009854195461</v>
      </c>
      <c r="U45" s="13">
        <v>-0.21501742901204324</v>
      </c>
      <c r="V45" s="13">
        <v>2.8445795908349503E-2</v>
      </c>
      <c r="W45" s="13">
        <v>-0.1535535585519443</v>
      </c>
      <c r="X45" s="13">
        <v>0</v>
      </c>
      <c r="Y45" s="13">
        <v>-1.1285349252539101</v>
      </c>
      <c r="Z45" s="13">
        <v>4.023375421822184E-2</v>
      </c>
      <c r="AA45" s="13">
        <v>-0.97355846469400209</v>
      </c>
      <c r="AB45" s="13">
        <v>-1.3840240079143751E-2</v>
      </c>
      <c r="AC45" s="13">
        <v>-0.55515426313327287</v>
      </c>
      <c r="AD45" s="13">
        <v>-0.42807003411770017</v>
      </c>
      <c r="AE45" s="13">
        <v>2.0256051424816235E-2</v>
      </c>
      <c r="AF45" s="13">
        <v>-0.31059628453622423</v>
      </c>
      <c r="AG45" s="13">
        <v>-0.13158124319431197</v>
      </c>
      <c r="AH45" s="13">
        <v>7.3758770379850347E-3</v>
      </c>
      <c r="AI45" s="13">
        <v>0</v>
      </c>
      <c r="AJ45" s="13">
        <v>-0.33557611868814119</v>
      </c>
      <c r="AK45" s="13">
        <v>0</v>
      </c>
      <c r="AL45" s="13">
        <v>0</v>
      </c>
      <c r="AM45" s="13">
        <v>-1.7207880668474895</v>
      </c>
      <c r="AN45" s="13">
        <v>1.0612460634384924E-2</v>
      </c>
      <c r="AO45" s="13">
        <v>0</v>
      </c>
      <c r="AP45" s="13">
        <v>0.12338624119347941</v>
      </c>
      <c r="AQ45" s="13">
        <v>0</v>
      </c>
      <c r="AR45" s="13">
        <v>0</v>
      </c>
      <c r="AS45" s="13">
        <v>0</v>
      </c>
      <c r="AT45" s="13">
        <v>0</v>
      </c>
      <c r="AU45" s="13">
        <v>0.73696261279245778</v>
      </c>
      <c r="AV45" s="13">
        <v>2.6398678825134692</v>
      </c>
      <c r="AW45" s="13">
        <v>0</v>
      </c>
      <c r="AX45" s="13">
        <v>0</v>
      </c>
      <c r="AY45" s="13">
        <v>2.6831290945694697E-2</v>
      </c>
      <c r="AZ45" s="13">
        <v>0</v>
      </c>
      <c r="BA45" s="13">
        <v>-4.989677381017632E-3</v>
      </c>
      <c r="BB45" s="13">
        <v>2.1995664201357457E-2</v>
      </c>
      <c r="BC45" s="13">
        <v>5.7417896261346968E-3</v>
      </c>
      <c r="BD45" s="13">
        <v>0.42501094370419601</v>
      </c>
      <c r="BE45" s="13">
        <v>3.5807742943972709</v>
      </c>
      <c r="BF45" s="13">
        <v>0</v>
      </c>
      <c r="BG45" s="13">
        <v>0.1508749650394714</v>
      </c>
      <c r="BH45" s="13">
        <v>0.1863867638235428</v>
      </c>
      <c r="BI45" s="13">
        <v>-0.66898089066207422</v>
      </c>
      <c r="BJ45" s="13">
        <v>0.33192356887528085</v>
      </c>
      <c r="BK45" s="13">
        <v>-9.9296036184426395E-2</v>
      </c>
      <c r="BL45" s="13">
        <v>0.36074493704654209</v>
      </c>
      <c r="BM45" s="13">
        <v>1.3127869325657571</v>
      </c>
      <c r="BN45" s="13">
        <v>0.38798837227065341</v>
      </c>
      <c r="BO45" s="13">
        <v>0</v>
      </c>
      <c r="BP45" s="13">
        <v>0</v>
      </c>
      <c r="BQ45" s="13">
        <v>0.18701161049519133</v>
      </c>
      <c r="BR45" s="13">
        <v>0</v>
      </c>
      <c r="BS45" s="13">
        <v>1.0663044456302506</v>
      </c>
      <c r="BT45" s="13">
        <v>0.41604093197533665</v>
      </c>
      <c r="BU45" s="13">
        <v>1.8290903050610652E-3</v>
      </c>
      <c r="BV45" s="13">
        <v>-0.93510884026454244</v>
      </c>
      <c r="BW45" s="13">
        <v>0</v>
      </c>
      <c r="BX45" s="13">
        <v>0</v>
      </c>
      <c r="BY45" s="13">
        <v>-0.95157585862049032</v>
      </c>
      <c r="BZ45" s="13">
        <v>6.195655359395591E-2</v>
      </c>
      <c r="CA45" s="13">
        <v>0</v>
      </c>
      <c r="CB45" s="13">
        <v>-7.5101359660323386E-2</v>
      </c>
      <c r="CC45" s="13">
        <v>-0.40179384971820165</v>
      </c>
      <c r="CD45" s="13">
        <v>0</v>
      </c>
      <c r="CE45" s="13">
        <v>1.308438285874125E-3</v>
      </c>
      <c r="CF45" s="13">
        <v>-0.11593604757907938</v>
      </c>
      <c r="CG45" s="13">
        <v>-1.4437484511071852</v>
      </c>
      <c r="CH45" s="13">
        <v>0</v>
      </c>
      <c r="CI45" s="13">
        <v>2.0098839959170611E-2</v>
      </c>
      <c r="CJ45" s="13">
        <v>0</v>
      </c>
      <c r="CK45" s="13">
        <v>2.8204222293148895E-2</v>
      </c>
      <c r="CL45" s="13">
        <v>0</v>
      </c>
      <c r="CM45" s="13">
        <v>-6.4672820572209133E-4</v>
      </c>
      <c r="CN45" s="13">
        <v>-4.4789560605262846E-2</v>
      </c>
      <c r="CO45" s="13">
        <v>0</v>
      </c>
      <c r="CP45" s="13">
        <v>4.611865523416192E-2</v>
      </c>
      <c r="CQ45" s="13">
        <v>6.5713548286017165E-2</v>
      </c>
      <c r="CR45" s="13">
        <v>7.0583560539261292E-2</v>
      </c>
      <c r="CS45" s="13">
        <v>-3.0289058832888571E-2</v>
      </c>
      <c r="CT45" s="13">
        <v>5.6951874156152549E-2</v>
      </c>
      <c r="CU45" s="13">
        <v>-0.26374962097437393</v>
      </c>
      <c r="CV45" s="13">
        <v>-0.30415635111765704</v>
      </c>
      <c r="CW45" s="13">
        <v>0</v>
      </c>
      <c r="CX45" s="13">
        <v>0</v>
      </c>
      <c r="CY45" s="13">
        <v>-0.44695331130280014</v>
      </c>
      <c r="CZ45" s="13">
        <v>-3.9619096526966047E-2</v>
      </c>
      <c r="DA45" s="13">
        <v>0</v>
      </c>
      <c r="DB45" s="13">
        <v>0</v>
      </c>
      <c r="DC45" s="13">
        <v>-5.7198138473379956E-4</v>
      </c>
      <c r="DD45" s="13">
        <v>0.26489172324630772</v>
      </c>
      <c r="DE45" s="13">
        <v>0</v>
      </c>
      <c r="DF45" s="13">
        <v>0.23067647797949675</v>
      </c>
    </row>
    <row r="46" spans="1:113" ht="15.5" x14ac:dyDescent="0.35">
      <c r="A46" s="83">
        <v>23</v>
      </c>
      <c r="B46" s="83"/>
      <c r="C46" s="83"/>
      <c r="D46" s="45" t="s">
        <v>24</v>
      </c>
      <c r="E46" s="24">
        <f>E47+E48+E49</f>
        <v>50.593883394645502</v>
      </c>
      <c r="F46" s="70">
        <v>-1.9704603818339272</v>
      </c>
      <c r="G46" s="70">
        <v>0</v>
      </c>
      <c r="H46" s="70">
        <v>-8.0644857537448544E-4</v>
      </c>
      <c r="I46" s="70">
        <v>-4.2398406985073134</v>
      </c>
      <c r="J46" s="70">
        <v>0</v>
      </c>
      <c r="K46" s="70">
        <v>-1.5646454049389469E-3</v>
      </c>
      <c r="L46" s="70">
        <v>1.1237288407760726</v>
      </c>
      <c r="M46" s="70">
        <v>1.0883032312697383</v>
      </c>
      <c r="N46" s="70">
        <v>0.8746289660073181</v>
      </c>
      <c r="O46" s="70">
        <v>1.2352866299591758</v>
      </c>
      <c r="P46" s="70">
        <v>2.1924941058149017E-2</v>
      </c>
      <c r="Q46" s="70">
        <v>-0.97801032854325509</v>
      </c>
      <c r="R46" s="70">
        <v>-1.79829805285735</v>
      </c>
      <c r="S46" s="70">
        <v>-4.3002957905034727</v>
      </c>
      <c r="T46" s="70">
        <v>-1.0809402159667969</v>
      </c>
      <c r="U46" s="70">
        <v>-2.0094433581707705E-2</v>
      </c>
      <c r="V46" s="70">
        <v>0</v>
      </c>
      <c r="W46" s="70">
        <v>0.99009787242074765</v>
      </c>
      <c r="X46" s="70">
        <v>0.18933134431005083</v>
      </c>
      <c r="Y46" s="70">
        <v>0.50104132767172516</v>
      </c>
      <c r="Z46" s="70">
        <v>0</v>
      </c>
      <c r="AA46" s="70">
        <v>0</v>
      </c>
      <c r="AB46" s="70">
        <v>-0.3015711429919965</v>
      </c>
      <c r="AC46" s="70">
        <v>0</v>
      </c>
      <c r="AD46" s="70">
        <v>0</v>
      </c>
      <c r="AE46" s="70">
        <v>-1.8062083841433152</v>
      </c>
      <c r="AF46" s="70">
        <v>-0.31024467196543171</v>
      </c>
      <c r="AG46" s="70">
        <v>0</v>
      </c>
      <c r="AH46" s="70">
        <v>0</v>
      </c>
      <c r="AI46" s="70">
        <v>-1.1942331378689275E-3</v>
      </c>
      <c r="AJ46" s="70">
        <v>-2.1854687289823982E-2</v>
      </c>
      <c r="AK46" s="70">
        <v>-4.6265366236197814E-3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0.22702181357201479</v>
      </c>
      <c r="AR46" s="70">
        <v>0.53882431558405219</v>
      </c>
      <c r="AS46" s="70">
        <v>0</v>
      </c>
      <c r="AT46" s="70">
        <v>0</v>
      </c>
      <c r="AU46" s="70">
        <v>-0.64824337223452488</v>
      </c>
      <c r="AV46" s="70">
        <v>0.11659687495444437</v>
      </c>
      <c r="AW46" s="70">
        <v>0</v>
      </c>
      <c r="AX46" s="70">
        <v>0</v>
      </c>
      <c r="AY46" s="70">
        <v>0.85926334782571168</v>
      </c>
      <c r="AZ46" s="70">
        <v>-0.36481499175949894</v>
      </c>
      <c r="BA46" s="70">
        <v>-1.5398875518746191E-2</v>
      </c>
      <c r="BB46" s="70">
        <v>9.7327076515441036E-3</v>
      </c>
      <c r="BC46" s="70">
        <v>0</v>
      </c>
      <c r="BD46" s="70">
        <v>0.72639839214165836</v>
      </c>
      <c r="BE46" s="70">
        <v>0</v>
      </c>
      <c r="BF46" s="70">
        <v>0.39205504550143822</v>
      </c>
      <c r="BG46" s="70">
        <v>0</v>
      </c>
      <c r="BH46" s="70">
        <v>0</v>
      </c>
      <c r="BI46" s="70">
        <v>0.4286827540317395</v>
      </c>
      <c r="BJ46" s="70">
        <v>4.6258811530050403</v>
      </c>
      <c r="BK46" s="70">
        <v>4.2119684051640682</v>
      </c>
      <c r="BL46" s="70">
        <v>2.2168495784810949</v>
      </c>
      <c r="BM46" s="70">
        <v>-0.94253634264930275</v>
      </c>
      <c r="BN46" s="70">
        <v>-0.78085821513399489</v>
      </c>
      <c r="BO46" s="70">
        <v>0</v>
      </c>
      <c r="BP46" s="70">
        <v>0</v>
      </c>
      <c r="BQ46" s="70">
        <v>0</v>
      </c>
      <c r="BR46" s="70">
        <v>0</v>
      </c>
      <c r="BS46" s="70">
        <v>8.8659389925638266E-3</v>
      </c>
      <c r="BT46" s="70">
        <v>0</v>
      </c>
      <c r="BU46" s="70">
        <v>0</v>
      </c>
      <c r="BV46" s="70">
        <v>-9.125834243239872E-3</v>
      </c>
      <c r="BW46" s="70">
        <v>0</v>
      </c>
      <c r="BX46" s="70">
        <v>3.2362333313764369</v>
      </c>
      <c r="BY46" s="70">
        <v>0</v>
      </c>
      <c r="BZ46" s="70">
        <v>8.0264573735977507E-2</v>
      </c>
      <c r="CA46" s="70">
        <v>7.470559680888833E-3</v>
      </c>
      <c r="CB46" s="70">
        <v>-3.0945313655994511E-5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0.66390201115145153</v>
      </c>
      <c r="CI46" s="70">
        <v>2.2529556954672847</v>
      </c>
      <c r="CJ46" s="70">
        <v>0</v>
      </c>
      <c r="CK46" s="70">
        <v>9.309663484224906E-3</v>
      </c>
      <c r="CL46" s="70">
        <v>0</v>
      </c>
      <c r="CM46" s="70">
        <v>2.3218900593091618E-3</v>
      </c>
      <c r="CN46" s="70">
        <v>-0.70217191839740956</v>
      </c>
      <c r="CO46" s="70">
        <v>0</v>
      </c>
      <c r="CP46" s="70">
        <v>0</v>
      </c>
      <c r="CQ46" s="70">
        <v>3.5860667098264187E-3</v>
      </c>
      <c r="CR46" s="70">
        <v>1.7248310921313958E-3</v>
      </c>
      <c r="CS46" s="70">
        <v>0</v>
      </c>
      <c r="CT46" s="70">
        <v>3.6853164450967313E-2</v>
      </c>
      <c r="CU46" s="70">
        <v>0</v>
      </c>
      <c r="CV46" s="70">
        <v>0</v>
      </c>
      <c r="CW46" s="70">
        <v>0</v>
      </c>
      <c r="CX46" s="70">
        <v>-0.96475220534993911</v>
      </c>
      <c r="CY46" s="70">
        <v>-0.34478183699320208</v>
      </c>
      <c r="CZ46" s="70">
        <v>-8.8272398372946093E-3</v>
      </c>
      <c r="DA46" s="70">
        <v>-0.57790397337066368</v>
      </c>
      <c r="DB46" s="70">
        <v>-2.550958577707263E-6</v>
      </c>
      <c r="DC46" s="70">
        <v>0</v>
      </c>
      <c r="DD46" s="70">
        <v>0.3624186031086829</v>
      </c>
      <c r="DE46" s="70">
        <v>0.67699983936568842</v>
      </c>
      <c r="DF46" s="70">
        <v>1.8787059451146115</v>
      </c>
      <c r="DG46" s="46"/>
      <c r="DH46" s="46"/>
      <c r="DI46" s="46"/>
    </row>
    <row r="47" spans="1:113" ht="15.5" x14ac:dyDescent="0.35">
      <c r="A47" s="88"/>
      <c r="B47" s="80">
        <v>239</v>
      </c>
      <c r="C47" s="80" t="s">
        <v>118</v>
      </c>
      <c r="D47" s="13" t="s">
        <v>105</v>
      </c>
      <c r="E47" s="33">
        <f>VLOOKUP(C47,[1]CLASSI_EAI!A:G,7,FALSE)</f>
        <v>1.3162386715291501</v>
      </c>
      <c r="F47" s="13">
        <v>0</v>
      </c>
      <c r="G47" s="13">
        <v>0</v>
      </c>
      <c r="H47" s="13">
        <v>0</v>
      </c>
      <c r="I47" s="13">
        <v>-1.1724581543036461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1.0908862052062318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0.70562123450745862</v>
      </c>
      <c r="X47" s="13">
        <v>6.5709658365870505</v>
      </c>
      <c r="Y47" s="13">
        <v>1.0289475399994474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3.0967695203568457</v>
      </c>
      <c r="AG47" s="13">
        <v>0</v>
      </c>
      <c r="AH47" s="13">
        <v>0</v>
      </c>
      <c r="AI47" s="13">
        <v>0</v>
      </c>
      <c r="AJ47" s="13">
        <v>-0.63031329124045854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0.63431144055816624</v>
      </c>
      <c r="AR47" s="13">
        <v>0</v>
      </c>
      <c r="AS47" s="13">
        <v>0</v>
      </c>
      <c r="AT47" s="13">
        <v>0</v>
      </c>
      <c r="AU47" s="13">
        <v>0</v>
      </c>
      <c r="AV47" s="13">
        <v>3.5855245659305979</v>
      </c>
      <c r="AW47" s="13">
        <v>0</v>
      </c>
      <c r="AX47" s="13">
        <v>0</v>
      </c>
      <c r="AY47" s="13">
        <v>0</v>
      </c>
      <c r="AZ47" s="13">
        <v>0</v>
      </c>
      <c r="BA47" s="13">
        <v>-0.45992851127066858</v>
      </c>
      <c r="BB47" s="13">
        <v>0.29199147555911686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2.3010480854921189</v>
      </c>
      <c r="BJ47" s="13">
        <v>0</v>
      </c>
      <c r="BK47" s="13">
        <v>0</v>
      </c>
      <c r="BL47" s="13">
        <v>0</v>
      </c>
      <c r="BM47" s="13">
        <v>0.19469986555316066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-0.29632006370009512</v>
      </c>
      <c r="BW47" s="13">
        <v>0</v>
      </c>
      <c r="BX47" s="13">
        <v>-4.9398877410844477E-5</v>
      </c>
      <c r="BY47" s="13">
        <v>0</v>
      </c>
      <c r="BZ47" s="13">
        <v>2.6983229560687105</v>
      </c>
      <c r="CA47" s="13">
        <v>0.24474186052954039</v>
      </c>
      <c r="CB47" s="13">
        <v>-1.0113951062651338E-3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-0.60119640388840434</v>
      </c>
      <c r="CJ47" s="13">
        <v>0</v>
      </c>
      <c r="CK47" s="13">
        <v>0.31508858794473404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0.12015478119413725</v>
      </c>
      <c r="CR47" s="13">
        <v>0</v>
      </c>
      <c r="CS47" s="13">
        <v>0</v>
      </c>
      <c r="CT47" s="13">
        <v>0.7373928249560846</v>
      </c>
      <c r="CU47" s="13">
        <v>0</v>
      </c>
      <c r="CV47" s="13">
        <v>0</v>
      </c>
      <c r="CW47" s="13">
        <v>0</v>
      </c>
      <c r="CX47" s="13">
        <v>0</v>
      </c>
      <c r="CY47" s="13">
        <v>0.51798043493787027</v>
      </c>
      <c r="CZ47" s="13">
        <v>0</v>
      </c>
      <c r="DA47" s="13">
        <v>-0.42239616035909533</v>
      </c>
      <c r="DB47" s="13">
        <v>-8.3104770143282991E-5</v>
      </c>
      <c r="DC47" s="13">
        <v>0</v>
      </c>
      <c r="DD47" s="13">
        <v>0</v>
      </c>
      <c r="DE47" s="13">
        <v>8.3344905478721643E-2</v>
      </c>
      <c r="DF47" s="13">
        <v>0</v>
      </c>
    </row>
    <row r="48" spans="1:113" ht="15.5" x14ac:dyDescent="0.35">
      <c r="A48" s="88"/>
      <c r="C48" s="80" t="s">
        <v>119</v>
      </c>
      <c r="D48" s="13" t="s">
        <v>108</v>
      </c>
      <c r="E48" s="33">
        <f>VLOOKUP(C48,[1]CLASSI_EAI!A:G,7,FALSE)</f>
        <v>48.893660719388599</v>
      </c>
      <c r="F48" s="13">
        <v>-2.0376530457254294</v>
      </c>
      <c r="G48" s="13">
        <v>0</v>
      </c>
      <c r="H48" s="13">
        <v>0</v>
      </c>
      <c r="I48" s="13">
        <v>-4.3544121939147811</v>
      </c>
      <c r="J48" s="13">
        <v>0</v>
      </c>
      <c r="K48" s="13">
        <v>0</v>
      </c>
      <c r="L48" s="13">
        <v>1.1536759647939432</v>
      </c>
      <c r="M48" s="13">
        <v>1.1128755166137427</v>
      </c>
      <c r="N48" s="13">
        <v>0.89849377347259729</v>
      </c>
      <c r="O48" s="13">
        <v>1.2716389175384535</v>
      </c>
      <c r="P48" s="13">
        <v>0</v>
      </c>
      <c r="Q48" s="13">
        <v>-1.0117588202483652</v>
      </c>
      <c r="R48" s="13">
        <v>-1.8619165817540528</v>
      </c>
      <c r="S48" s="13">
        <v>-4.4558335456497344</v>
      </c>
      <c r="T48" s="13">
        <v>-1.1212933807084213</v>
      </c>
      <c r="U48" s="13">
        <v>0</v>
      </c>
      <c r="V48" s="13">
        <v>0</v>
      </c>
      <c r="W48" s="13">
        <v>1.0061465221242072</v>
      </c>
      <c r="X48" s="13">
        <v>0</v>
      </c>
      <c r="Y48" s="13">
        <v>0.48799602749554083</v>
      </c>
      <c r="Z48" s="13">
        <v>0</v>
      </c>
      <c r="AA48" s="13">
        <v>0</v>
      </c>
      <c r="AB48" s="13">
        <v>-0.31348887530231462</v>
      </c>
      <c r="AC48" s="13">
        <v>0</v>
      </c>
      <c r="AD48" s="13">
        <v>0</v>
      </c>
      <c r="AE48" s="13">
        <v>-1.8782839030005438</v>
      </c>
      <c r="AF48" s="13">
        <v>-0.42469176725091762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0.21529347651334518</v>
      </c>
      <c r="AR48" s="13">
        <v>0.56149329958663508</v>
      </c>
      <c r="AS48" s="13">
        <v>0</v>
      </c>
      <c r="AT48" s="13">
        <v>0</v>
      </c>
      <c r="AU48" s="13">
        <v>-0.67510891451962873</v>
      </c>
      <c r="AV48" s="13">
        <v>0</v>
      </c>
      <c r="AW48" s="13">
        <v>0</v>
      </c>
      <c r="AX48" s="13">
        <v>0</v>
      </c>
      <c r="AY48" s="13">
        <v>0.89636756232340797</v>
      </c>
      <c r="AZ48" s="13">
        <v>-0.38034148153799352</v>
      </c>
      <c r="BA48" s="13">
        <v>0</v>
      </c>
      <c r="BB48" s="13">
        <v>0</v>
      </c>
      <c r="BC48" s="13">
        <v>0</v>
      </c>
      <c r="BD48" s="13">
        <v>0.75739016535769643</v>
      </c>
      <c r="BE48" s="13">
        <v>0</v>
      </c>
      <c r="BF48" s="13">
        <v>0.40905429776572078</v>
      </c>
      <c r="BG48" s="13">
        <v>0</v>
      </c>
      <c r="BH48" s="13">
        <v>0</v>
      </c>
      <c r="BI48" s="13">
        <v>0.36784736265718099</v>
      </c>
      <c r="BJ48" s="13">
        <v>4.8285641750178465</v>
      </c>
      <c r="BK48" s="13">
        <v>4.3880152993503563</v>
      </c>
      <c r="BL48" s="13">
        <v>2.296800124248044</v>
      </c>
      <c r="BM48" s="13">
        <v>-0.98562236878799725</v>
      </c>
      <c r="BN48" s="13">
        <v>-0.81184207361346683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3.3656884345193427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0.69019906557106214</v>
      </c>
      <c r="CI48" s="13">
        <v>2.3605751510174855</v>
      </c>
      <c r="CJ48" s="13">
        <v>0</v>
      </c>
      <c r="CK48" s="13">
        <v>0</v>
      </c>
      <c r="CL48" s="13">
        <v>0</v>
      </c>
      <c r="CM48" s="13">
        <v>0</v>
      </c>
      <c r="CN48" s="13">
        <v>-0.72847511845361979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-1.0024541845128687</v>
      </c>
      <c r="CY48" s="13">
        <v>-0.37546709669420419</v>
      </c>
      <c r="CZ48" s="13">
        <v>-9.1785227734342278E-3</v>
      </c>
      <c r="DA48" s="13">
        <v>-0.58837144582858381</v>
      </c>
      <c r="DB48" s="13">
        <v>0</v>
      </c>
      <c r="DC48" s="13">
        <v>0</v>
      </c>
      <c r="DD48" s="13">
        <v>0.37688216521789553</v>
      </c>
      <c r="DE48" s="13">
        <v>0.70126596755415438</v>
      </c>
      <c r="DF48" s="13">
        <v>1.9529299491302776</v>
      </c>
    </row>
    <row r="49" spans="1:113" ht="15.5" x14ac:dyDescent="0.35">
      <c r="A49" s="88"/>
      <c r="C49" s="80" t="s">
        <v>120</v>
      </c>
      <c r="D49" s="13" t="s">
        <v>109</v>
      </c>
      <c r="E49" s="33">
        <f>VLOOKUP(C49,[1]CLASSI_EAI!A:G,7,FALSE)</f>
        <v>0.38398400372775099</v>
      </c>
      <c r="F49" s="13">
        <v>-0.20777586911182588</v>
      </c>
      <c r="G49" s="13">
        <v>0</v>
      </c>
      <c r="H49" s="13">
        <v>-0.10332439606988153</v>
      </c>
      <c r="I49" s="13">
        <v>-0.52161533979611097</v>
      </c>
      <c r="J49" s="13">
        <v>0</v>
      </c>
      <c r="K49" s="13">
        <v>-0.19317179819005048</v>
      </c>
      <c r="L49" s="13">
        <v>1.3691299782661481</v>
      </c>
      <c r="M49" s="13">
        <v>1.8108438054867726</v>
      </c>
      <c r="N49" s="13">
        <v>0.93253263730788127</v>
      </c>
      <c r="O49" s="13">
        <v>0.96802255787689084</v>
      </c>
      <c r="P49" s="13">
        <v>-0.83224620025332818</v>
      </c>
      <c r="Q49" s="13">
        <v>-0.16442996441194957</v>
      </c>
      <c r="R49" s="13">
        <v>-0.18966520653415087</v>
      </c>
      <c r="S49" s="13">
        <v>-0.38569094966851569</v>
      </c>
      <c r="T49" s="13">
        <v>-0.15649232107322053</v>
      </c>
      <c r="U49" s="13">
        <v>-2.3112833138251632</v>
      </c>
      <c r="V49" s="13">
        <v>0</v>
      </c>
      <c r="W49" s="13">
        <v>0.13914095655391812</v>
      </c>
      <c r="X49" s="13">
        <v>0</v>
      </c>
      <c r="Y49" s="13">
        <v>6.7635249336861492E-2</v>
      </c>
      <c r="Z49" s="13">
        <v>0</v>
      </c>
      <c r="AA49" s="13">
        <v>0</v>
      </c>
      <c r="AB49" s="13">
        <v>-4.3599004126004814E-2</v>
      </c>
      <c r="AC49" s="13">
        <v>0</v>
      </c>
      <c r="AD49" s="13">
        <v>0</v>
      </c>
      <c r="AE49" s="13">
        <v>-0.20644324443520601</v>
      </c>
      <c r="AF49" s="13">
        <v>0</v>
      </c>
      <c r="AG49" s="13">
        <v>0</v>
      </c>
      <c r="AH49" s="13">
        <v>0</v>
      </c>
      <c r="AI49" s="13">
        <v>-0.13957831381975483</v>
      </c>
      <c r="AJ49" s="13">
        <v>-0.15680485965470226</v>
      </c>
      <c r="AK49" s="13">
        <v>-0.54221665951188491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3.825682489047022E-2</v>
      </c>
      <c r="AS49" s="13">
        <v>0</v>
      </c>
      <c r="AT49" s="13">
        <v>0</v>
      </c>
      <c r="AU49" s="13">
        <v>-7.5238135631150449E-2</v>
      </c>
      <c r="AV49" s="13">
        <v>0</v>
      </c>
      <c r="AW49" s="13">
        <v>0</v>
      </c>
      <c r="AX49" s="13">
        <v>0</v>
      </c>
      <c r="AY49" s="13">
        <v>7.5788698801249055E-2</v>
      </c>
      <c r="AZ49" s="13">
        <v>-4.2331773020076735E-2</v>
      </c>
      <c r="BA49" s="13">
        <v>0</v>
      </c>
      <c r="BB49" s="13">
        <v>0</v>
      </c>
      <c r="BC49" s="13">
        <v>0</v>
      </c>
      <c r="BD49" s="13">
        <v>8.3872527414174947E-2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1.1124646920602554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1.156634174254445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0.31850803711184206</v>
      </c>
      <c r="CN49" s="13">
        <v>-8.3832236646907976E-2</v>
      </c>
      <c r="CO49" s="13">
        <v>0</v>
      </c>
      <c r="CP49" s="13">
        <v>0</v>
      </c>
      <c r="CQ49" s="13">
        <v>0</v>
      </c>
      <c r="CR49" s="13">
        <v>0.2344087880535195</v>
      </c>
      <c r="CS49" s="13">
        <v>0</v>
      </c>
      <c r="CT49" s="13">
        <v>2.0094142100842483</v>
      </c>
      <c r="CU49" s="13">
        <v>0</v>
      </c>
      <c r="CV49" s="13">
        <v>0</v>
      </c>
      <c r="CW49" s="13">
        <v>0</v>
      </c>
      <c r="CX49" s="13">
        <v>0</v>
      </c>
      <c r="CY49" s="13">
        <v>9.0756702372329912E-2</v>
      </c>
      <c r="CZ49" s="13">
        <v>0</v>
      </c>
      <c r="DA49" s="13">
        <v>0.11702656217134066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</row>
    <row r="50" spans="1:113" ht="15.5" x14ac:dyDescent="0.35">
      <c r="A50" s="83">
        <v>24</v>
      </c>
      <c r="B50" s="83"/>
      <c r="C50" s="83"/>
      <c r="D50" s="45" t="s">
        <v>25</v>
      </c>
      <c r="E50" s="59">
        <f>E51</f>
        <v>46.9277066066388</v>
      </c>
      <c r="F50" s="70">
        <v>1.0660403678149022</v>
      </c>
      <c r="G50" s="70">
        <v>4.7613524421736608</v>
      </c>
      <c r="H50" s="70">
        <v>4.8163521836631196</v>
      </c>
      <c r="I50" s="70">
        <v>0.41071902689668871</v>
      </c>
      <c r="J50" s="70">
        <v>0.89288507998781519</v>
      </c>
      <c r="K50" s="70">
        <v>0.98197325775242206</v>
      </c>
      <c r="L50" s="70">
        <v>0.34543820896832944</v>
      </c>
      <c r="M50" s="70">
        <v>1.1465539913154021</v>
      </c>
      <c r="N50" s="70">
        <v>4.5946652799541798</v>
      </c>
      <c r="O50" s="70">
        <v>0.58016488381116282</v>
      </c>
      <c r="P50" s="70">
        <v>-0.87942670545813062</v>
      </c>
      <c r="Q50" s="70">
        <v>0.96590954011754881</v>
      </c>
      <c r="R50" s="70">
        <v>0.91291635450989617</v>
      </c>
      <c r="S50" s="70">
        <v>-3.1389758138795743</v>
      </c>
      <c r="T50" s="70">
        <v>0.13383595190177289</v>
      </c>
      <c r="U50" s="70">
        <v>2.0867627271181632E-2</v>
      </c>
      <c r="V50" s="70">
        <v>-0.60249257543882884</v>
      </c>
      <c r="W50" s="70">
        <v>-0.63126986281385467</v>
      </c>
      <c r="X50" s="70">
        <v>-0.15640971748883681</v>
      </c>
      <c r="Y50" s="70">
        <v>0.14355726339718711</v>
      </c>
      <c r="Z50" s="70">
        <v>6.2931210812111615E-2</v>
      </c>
      <c r="AA50" s="70">
        <v>8.4195940965248184E-2</v>
      </c>
      <c r="AB50" s="70">
        <v>8.6763956131963305E-2</v>
      </c>
      <c r="AC50" s="70">
        <v>-1.22449608698042</v>
      </c>
      <c r="AD50" s="70">
        <v>-0.16545679143620262</v>
      </c>
      <c r="AE50" s="70">
        <v>-2.7611884552691812E-2</v>
      </c>
      <c r="AF50" s="70">
        <v>-0.4678088537862668</v>
      </c>
      <c r="AG50" s="70">
        <v>-0.84916097854436101</v>
      </c>
      <c r="AH50" s="70">
        <v>0.58170208426646663</v>
      </c>
      <c r="AI50" s="70">
        <v>-0.21281373035574314</v>
      </c>
      <c r="AJ50" s="70">
        <v>2.9153225469337851</v>
      </c>
      <c r="AK50" s="70">
        <v>-1.6322189091522166E-2</v>
      </c>
      <c r="AL50" s="70">
        <v>1.357363115193011</v>
      </c>
      <c r="AM50" s="70">
        <v>0.19862840386568603</v>
      </c>
      <c r="AN50" s="70">
        <v>0.15446195966457577</v>
      </c>
      <c r="AO50" s="70">
        <v>-0.90282266423583613</v>
      </c>
      <c r="AP50" s="70">
        <v>1.0563319459292231</v>
      </c>
      <c r="AQ50" s="70">
        <v>-0.14352225923280892</v>
      </c>
      <c r="AR50" s="70">
        <v>0.33945778882480404</v>
      </c>
      <c r="AS50" s="70">
        <v>-0.20771731909741131</v>
      </c>
      <c r="AT50" s="70">
        <v>5.4535944463474095E-2</v>
      </c>
      <c r="AU50" s="70">
        <v>-0.15672283400260945</v>
      </c>
      <c r="AV50" s="70">
        <v>0.78608297465536658</v>
      </c>
      <c r="AW50" s="70">
        <v>0.22805773737972768</v>
      </c>
      <c r="AX50" s="70">
        <v>0.56809285379091357</v>
      </c>
      <c r="AY50" s="70">
        <v>0.79140721506867351</v>
      </c>
      <c r="AZ50" s="70">
        <v>-0.211227247389012</v>
      </c>
      <c r="BA50" s="70">
        <v>-0.26036110493551368</v>
      </c>
      <c r="BB50" s="70">
        <v>0.1875356050882182</v>
      </c>
      <c r="BC50" s="70">
        <v>0.77261209216792359</v>
      </c>
      <c r="BD50" s="70">
        <v>0.70960397120398699</v>
      </c>
      <c r="BE50" s="70">
        <v>0.98388806082119196</v>
      </c>
      <c r="BF50" s="70">
        <v>0.5434812040369108</v>
      </c>
      <c r="BG50" s="70">
        <v>0.11608071174431522</v>
      </c>
      <c r="BH50" s="70">
        <v>-9.6072966345783772E-2</v>
      </c>
      <c r="BI50" s="70">
        <v>1.1574820056692303E-2</v>
      </c>
      <c r="BJ50" s="70">
        <v>3.0240350789102033</v>
      </c>
      <c r="BK50" s="70">
        <v>2.2257646275630538</v>
      </c>
      <c r="BL50" s="70">
        <v>0.12984884572684319</v>
      </c>
      <c r="BM50" s="70">
        <v>-0.63080988654725667</v>
      </c>
      <c r="BN50" s="70">
        <v>-0.5114114772931444</v>
      </c>
      <c r="BO50" s="70">
        <v>-0.4115393966652503</v>
      </c>
      <c r="BP50" s="70">
        <v>-0.19532764810741288</v>
      </c>
      <c r="BQ50" s="70">
        <v>-0.39849048003852694</v>
      </c>
      <c r="BR50" s="70">
        <v>-0.34598152978723151</v>
      </c>
      <c r="BS50" s="70">
        <v>-1.4590898557433007</v>
      </c>
      <c r="BT50" s="70">
        <v>-0.86692477039784777</v>
      </c>
      <c r="BU50" s="70">
        <v>-0.39941484569704366</v>
      </c>
      <c r="BV50" s="70">
        <v>0.2590984568374699</v>
      </c>
      <c r="BW50" s="70">
        <v>2.3198974135896222E-2</v>
      </c>
      <c r="BX50" s="70">
        <v>-0.43351560062157013</v>
      </c>
      <c r="BY50" s="70">
        <v>-1.7279403086865819</v>
      </c>
      <c r="BZ50" s="70">
        <v>-0.86493378656847808</v>
      </c>
      <c r="CA50" s="70">
        <v>0.33513752753155934</v>
      </c>
      <c r="CB50" s="70">
        <v>0.38655141824883721</v>
      </c>
      <c r="CC50" s="70">
        <v>-0.30414360071662205</v>
      </c>
      <c r="CD50" s="70">
        <v>0.12629090230638074</v>
      </c>
      <c r="CE50" s="70">
        <v>-0.22277420327532216</v>
      </c>
      <c r="CF50" s="70">
        <v>1.2025432075699172</v>
      </c>
      <c r="CG50" s="70">
        <v>0.42296987399748076</v>
      </c>
      <c r="CH50" s="70">
        <v>0.56524361155398939</v>
      </c>
      <c r="CI50" s="70">
        <v>-0.94599975421726379</v>
      </c>
      <c r="CJ50" s="70">
        <v>-0.51546947622015393</v>
      </c>
      <c r="CK50" s="70">
        <v>-0.41916399572970997</v>
      </c>
      <c r="CL50" s="70">
        <v>-0.29232371092432485</v>
      </c>
      <c r="CM50" s="70">
        <v>0.13544901533339981</v>
      </c>
      <c r="CN50" s="70">
        <v>-0.73696672745091618</v>
      </c>
      <c r="CO50" s="70">
        <v>-1.7589704854836796E-2</v>
      </c>
      <c r="CP50" s="70">
        <v>4.4425962449712308E-2</v>
      </c>
      <c r="CQ50" s="70">
        <v>-0.54228205940143326</v>
      </c>
      <c r="CR50" s="70">
        <v>-9.8920095186627588E-2</v>
      </c>
      <c r="CS50" s="70">
        <v>-7.3607459794233776E-3</v>
      </c>
      <c r="CT50" s="70">
        <v>-0.1109820463429112</v>
      </c>
      <c r="CU50" s="70">
        <v>-0.10616150766966648</v>
      </c>
      <c r="CV50" s="70">
        <v>-6.7367334593293471E-2</v>
      </c>
      <c r="CW50" s="70">
        <v>-0.13101367260155428</v>
      </c>
      <c r="CX50" s="70">
        <v>-0.44625437795450251</v>
      </c>
      <c r="CY50" s="70">
        <v>-0.97284248258581174</v>
      </c>
      <c r="CZ50" s="70">
        <v>-0.21730572503203538</v>
      </c>
      <c r="DA50" s="70">
        <v>-0.15432643118608036</v>
      </c>
      <c r="DB50" s="70">
        <v>-0.5210634970557293</v>
      </c>
      <c r="DC50" s="70">
        <v>-0.61011559920928216</v>
      </c>
      <c r="DD50" s="70">
        <v>0.5814106426181409</v>
      </c>
      <c r="DE50" s="70">
        <v>-0.68113464546459834</v>
      </c>
      <c r="DF50" s="70">
        <v>2.1718086337698672</v>
      </c>
      <c r="DG50" s="46"/>
      <c r="DH50" s="46"/>
      <c r="DI50" s="46"/>
    </row>
    <row r="51" spans="1:113" ht="15.5" x14ac:dyDescent="0.35">
      <c r="A51" s="88"/>
      <c r="B51" s="80">
        <v>241</v>
      </c>
      <c r="C51" s="80" t="s">
        <v>121</v>
      </c>
      <c r="D51" s="13" t="s">
        <v>122</v>
      </c>
      <c r="E51" s="33">
        <f>VLOOKUP(C51,[1]CLASSI_EAI!A:G,7,FALSE)</f>
        <v>46.9277066066388</v>
      </c>
      <c r="F51" s="13">
        <v>1.0660403678149022</v>
      </c>
      <c r="G51" s="13">
        <v>4.7613524421736608</v>
      </c>
      <c r="H51" s="13">
        <v>4.8163521836631196</v>
      </c>
      <c r="I51" s="13">
        <v>0.41071902689668871</v>
      </c>
      <c r="J51" s="13">
        <v>0.89288507998781519</v>
      </c>
      <c r="K51" s="13">
        <v>0.98197325775242206</v>
      </c>
      <c r="L51" s="13">
        <v>0.34543820896832944</v>
      </c>
      <c r="M51" s="13">
        <v>1.1465539913154021</v>
      </c>
      <c r="N51" s="13">
        <v>4.5946652799541798</v>
      </c>
      <c r="O51" s="13">
        <v>0.58016488381116282</v>
      </c>
      <c r="P51" s="13">
        <v>-0.87942670545813062</v>
      </c>
      <c r="Q51" s="13">
        <v>0.96590954011754881</v>
      </c>
      <c r="R51" s="13">
        <v>0.91291635450989617</v>
      </c>
      <c r="S51" s="13">
        <v>-3.1389758138795743</v>
      </c>
      <c r="T51" s="13">
        <v>0.13383595190177289</v>
      </c>
      <c r="U51" s="13">
        <v>2.0867627271181632E-2</v>
      </c>
      <c r="V51" s="13">
        <v>-0.60249257543882884</v>
      </c>
      <c r="W51" s="13">
        <v>-0.63126986281385467</v>
      </c>
      <c r="X51" s="13">
        <v>-0.15640971748883681</v>
      </c>
      <c r="Y51" s="13">
        <v>0.14355726339718711</v>
      </c>
      <c r="Z51" s="13">
        <v>6.2931210812111615E-2</v>
      </c>
      <c r="AA51" s="13">
        <v>8.4195940965248184E-2</v>
      </c>
      <c r="AB51" s="13">
        <v>8.6763956131963305E-2</v>
      </c>
      <c r="AC51" s="13">
        <v>-1.22449608698042</v>
      </c>
      <c r="AD51" s="13">
        <v>-0.16545679143620262</v>
      </c>
      <c r="AE51" s="13">
        <v>-2.7611884552691812E-2</v>
      </c>
      <c r="AF51" s="13">
        <v>-0.4678088537862668</v>
      </c>
      <c r="AG51" s="13">
        <v>-0.84916097854436101</v>
      </c>
      <c r="AH51" s="13">
        <v>0.58170208426646663</v>
      </c>
      <c r="AI51" s="13">
        <v>-0.21281373035574314</v>
      </c>
      <c r="AJ51" s="13">
        <v>2.9153225469337851</v>
      </c>
      <c r="AK51" s="13">
        <v>-1.6322189091522166E-2</v>
      </c>
      <c r="AL51" s="13">
        <v>1.357363115193011</v>
      </c>
      <c r="AM51" s="13">
        <v>0.19862840386568603</v>
      </c>
      <c r="AN51" s="13">
        <v>0.15446195966457577</v>
      </c>
      <c r="AO51" s="13">
        <v>-0.90282266423583613</v>
      </c>
      <c r="AP51" s="13">
        <v>1.0563319459292231</v>
      </c>
      <c r="AQ51" s="13">
        <v>-0.14352225923280892</v>
      </c>
      <c r="AR51" s="13">
        <v>0.33945778882480404</v>
      </c>
      <c r="AS51" s="13">
        <v>-0.20771731909741131</v>
      </c>
      <c r="AT51" s="13">
        <v>5.4535944463474095E-2</v>
      </c>
      <c r="AU51" s="13">
        <v>-0.15672283400260945</v>
      </c>
      <c r="AV51" s="13">
        <v>0.78608297465536658</v>
      </c>
      <c r="AW51" s="13">
        <v>0.22805773737972768</v>
      </c>
      <c r="AX51" s="13">
        <v>0.56809285379091357</v>
      </c>
      <c r="AY51" s="13">
        <v>0.79140721506867351</v>
      </c>
      <c r="AZ51" s="13">
        <v>-0.211227247389012</v>
      </c>
      <c r="BA51" s="13">
        <v>-0.26036110493551368</v>
      </c>
      <c r="BB51" s="13">
        <v>0.1875356050882182</v>
      </c>
      <c r="BC51" s="13">
        <v>0.77261209216792359</v>
      </c>
      <c r="BD51" s="13">
        <v>0.70960397120398699</v>
      </c>
      <c r="BE51" s="13">
        <v>0.98388806082119196</v>
      </c>
      <c r="BF51" s="13">
        <v>0.5434812040369108</v>
      </c>
      <c r="BG51" s="13">
        <v>0.11608071174431522</v>
      </c>
      <c r="BH51" s="13">
        <v>-9.6072966345783772E-2</v>
      </c>
      <c r="BI51" s="13">
        <v>1.1574820056692303E-2</v>
      </c>
      <c r="BJ51" s="13">
        <v>3.0240350789102033</v>
      </c>
      <c r="BK51" s="13">
        <v>2.2257646275630538</v>
      </c>
      <c r="BL51" s="13">
        <v>0.12984884572684319</v>
      </c>
      <c r="BM51" s="13">
        <v>-0.63080988654725667</v>
      </c>
      <c r="BN51" s="13">
        <v>-0.5114114772931444</v>
      </c>
      <c r="BO51" s="13">
        <v>-0.4115393966652503</v>
      </c>
      <c r="BP51" s="13">
        <v>-0.19532764810741288</v>
      </c>
      <c r="BQ51" s="13">
        <v>-0.39849048003852694</v>
      </c>
      <c r="BR51" s="13">
        <v>-0.34598152978723151</v>
      </c>
      <c r="BS51" s="13">
        <v>-1.4590898557433007</v>
      </c>
      <c r="BT51" s="13">
        <v>-0.86692477039784777</v>
      </c>
      <c r="BU51" s="13">
        <v>-0.39941484569704366</v>
      </c>
      <c r="BV51" s="13">
        <v>0.2590984568374699</v>
      </c>
      <c r="BW51" s="13">
        <v>2.3198974135896222E-2</v>
      </c>
      <c r="BX51" s="13">
        <v>-0.43351560062157013</v>
      </c>
      <c r="BY51" s="13">
        <v>-1.7279403086865819</v>
      </c>
      <c r="BZ51" s="13">
        <v>-0.86493378656847808</v>
      </c>
      <c r="CA51" s="13">
        <v>0.33513752753155934</v>
      </c>
      <c r="CB51" s="13">
        <v>0.38655141824883721</v>
      </c>
      <c r="CC51" s="13">
        <v>-0.30414360071662205</v>
      </c>
      <c r="CD51" s="13">
        <v>0.12629090230638074</v>
      </c>
      <c r="CE51" s="13">
        <v>-0.22277420327532216</v>
      </c>
      <c r="CF51" s="13">
        <v>1.2025432075699172</v>
      </c>
      <c r="CG51" s="13">
        <v>0.42296987399748076</v>
      </c>
      <c r="CH51" s="13">
        <v>0.56524361155398939</v>
      </c>
      <c r="CI51" s="13">
        <v>-0.94599975421726379</v>
      </c>
      <c r="CJ51" s="13">
        <v>-0.51546947622015393</v>
      </c>
      <c r="CK51" s="13">
        <v>-0.41916399572970997</v>
      </c>
      <c r="CL51" s="13">
        <v>-0.29232371092432485</v>
      </c>
      <c r="CM51" s="13">
        <v>0.13544901533339981</v>
      </c>
      <c r="CN51" s="13">
        <v>-0.73696672745091618</v>
      </c>
      <c r="CO51" s="13">
        <v>-1.7589704854836796E-2</v>
      </c>
      <c r="CP51" s="13">
        <v>4.4425962449712308E-2</v>
      </c>
      <c r="CQ51" s="13">
        <v>-0.54228205940143326</v>
      </c>
      <c r="CR51" s="13">
        <v>-9.8920095186627588E-2</v>
      </c>
      <c r="CS51" s="13">
        <v>-7.3607459794233776E-3</v>
      </c>
      <c r="CT51" s="13">
        <v>-0.1109820463429112</v>
      </c>
      <c r="CU51" s="13">
        <v>-0.10616150766966648</v>
      </c>
      <c r="CV51" s="13">
        <v>-6.7367334593293471E-2</v>
      </c>
      <c r="CW51" s="13">
        <v>-0.13101367260155428</v>
      </c>
      <c r="CX51" s="13">
        <v>-0.44625437795450251</v>
      </c>
      <c r="CY51" s="13">
        <v>-0.97284248258581174</v>
      </c>
      <c r="CZ51" s="13">
        <v>-0.21730572503203538</v>
      </c>
      <c r="DA51" s="13">
        <v>-0.15432643118608036</v>
      </c>
      <c r="DB51" s="13">
        <v>-0.5210634970557293</v>
      </c>
      <c r="DC51" s="13">
        <v>-0.61011559920928216</v>
      </c>
      <c r="DD51" s="13">
        <v>0.5814106426181409</v>
      </c>
      <c r="DE51" s="13">
        <v>-0.68113464546459834</v>
      </c>
      <c r="DF51" s="13">
        <v>2.1718086337698672</v>
      </c>
    </row>
    <row r="52" spans="1:113" ht="15.5" x14ac:dyDescent="0.35">
      <c r="A52" s="83">
        <v>25</v>
      </c>
      <c r="B52" s="83"/>
      <c r="C52" s="83"/>
      <c r="D52" s="45" t="s">
        <v>26</v>
      </c>
      <c r="E52" s="59">
        <f>E53</f>
        <v>31.266363843842001</v>
      </c>
      <c r="F52" s="70">
        <v>0.1349837151942257</v>
      </c>
      <c r="G52" s="70">
        <v>5.8095428811366645E-2</v>
      </c>
      <c r="H52" s="70">
        <v>-7.948980940770678E-2</v>
      </c>
      <c r="I52" s="70">
        <v>0.49010908859170588</v>
      </c>
      <c r="J52" s="70">
        <v>1.2017314701617821E-2</v>
      </c>
      <c r="K52" s="70">
        <v>-0.19949955296012511</v>
      </c>
      <c r="L52" s="70">
        <v>0.21526600474464086</v>
      </c>
      <c r="M52" s="70">
        <v>0.32107474367408795</v>
      </c>
      <c r="N52" s="70">
        <v>0.28798628393122971</v>
      </c>
      <c r="O52" s="70">
        <v>0.47043618990489922</v>
      </c>
      <c r="P52" s="70">
        <v>0.37157674600802881</v>
      </c>
      <c r="Q52" s="70">
        <v>1.4068587897387186</v>
      </c>
      <c r="R52" s="70">
        <v>-0.97481694744820935</v>
      </c>
      <c r="S52" s="70">
        <v>-0.23944292993263172</v>
      </c>
      <c r="T52" s="70">
        <v>0.88280200403858533</v>
      </c>
      <c r="U52" s="70">
        <v>0.3143144888786864</v>
      </c>
      <c r="V52" s="70">
        <v>-1.408556560987817E-2</v>
      </c>
      <c r="W52" s="70">
        <v>0.909819710363724</v>
      </c>
      <c r="X52" s="70">
        <v>0.53835963619663918</v>
      </c>
      <c r="Y52" s="70">
        <v>-0.37189088675418924</v>
      </c>
      <c r="Z52" s="70">
        <v>0.7673448536874794</v>
      </c>
      <c r="AA52" s="70">
        <v>0.38547882528499056</v>
      </c>
      <c r="AB52" s="70">
        <v>0.35590341426186001</v>
      </c>
      <c r="AC52" s="70">
        <v>-0.45375975467422114</v>
      </c>
      <c r="AD52" s="70">
        <v>5.614470055783749</v>
      </c>
      <c r="AE52" s="70">
        <v>-3.4648126497971443E-2</v>
      </c>
      <c r="AF52" s="70">
        <v>-0.18958936918080926</v>
      </c>
      <c r="AG52" s="70">
        <v>0.26168040991607633</v>
      </c>
      <c r="AH52" s="70">
        <v>1.5558163077367126E-2</v>
      </c>
      <c r="AI52" s="70">
        <v>-0.23714373324037474</v>
      </c>
      <c r="AJ52" s="70">
        <v>5.455115212871231E-2</v>
      </c>
      <c r="AK52" s="70">
        <v>-4.9880046136452361E-2</v>
      </c>
      <c r="AL52" s="70">
        <v>1.2067802299523089</v>
      </c>
      <c r="AM52" s="70">
        <v>0.15813173101879574</v>
      </c>
      <c r="AN52" s="70">
        <v>7.0168693540462179E-2</v>
      </c>
      <c r="AO52" s="70">
        <v>-0.6589961394486199</v>
      </c>
      <c r="AP52" s="70">
        <v>-0.4291944639855938</v>
      </c>
      <c r="AQ52" s="70">
        <v>-0.32726042494062302</v>
      </c>
      <c r="AR52" s="70">
        <v>0.22180327238765507</v>
      </c>
      <c r="AS52" s="70">
        <v>0.31198164097565595</v>
      </c>
      <c r="AT52" s="70">
        <v>0.71490613446651974</v>
      </c>
      <c r="AU52" s="70">
        <v>-0.55497228611974814</v>
      </c>
      <c r="AV52" s="70">
        <v>1.4451131027908737</v>
      </c>
      <c r="AW52" s="70">
        <v>-9.6594146138107018E-2</v>
      </c>
      <c r="AX52" s="70">
        <v>-5.640887111983961E-2</v>
      </c>
      <c r="AY52" s="70">
        <v>-0.5038938142781002</v>
      </c>
      <c r="AZ52" s="70">
        <v>-0.90995173907644222</v>
      </c>
      <c r="BA52" s="70">
        <v>-0.16293968691453165</v>
      </c>
      <c r="BB52" s="70">
        <v>-0.83515369970644793</v>
      </c>
      <c r="BC52" s="70">
        <v>-0.60210505473936582</v>
      </c>
      <c r="BD52" s="70">
        <v>-8.4271824850645771E-2</v>
      </c>
      <c r="BE52" s="70">
        <v>0.64756515033814743</v>
      </c>
      <c r="BF52" s="70">
        <v>-0.37002244903803216</v>
      </c>
      <c r="BG52" s="70">
        <v>4.5395525481883858E-2</v>
      </c>
      <c r="BH52" s="70">
        <v>1.0867514677817214</v>
      </c>
      <c r="BI52" s="70">
        <v>1.805824036108028</v>
      </c>
      <c r="BJ52" s="70">
        <v>1.1809157865479314</v>
      </c>
      <c r="BK52" s="70">
        <v>-0.23251260072094659</v>
      </c>
      <c r="BL52" s="70">
        <v>3.1759399920012088</v>
      </c>
      <c r="BM52" s="70">
        <v>1.4513443427930373</v>
      </c>
      <c r="BN52" s="70">
        <v>0.75647996883754232</v>
      </c>
      <c r="BO52" s="70">
        <v>0.26034970570054661</v>
      </c>
      <c r="BP52" s="70">
        <v>0.89428289451201071</v>
      </c>
      <c r="BQ52" s="70">
        <v>-0.56667821165240495</v>
      </c>
      <c r="BR52" s="70">
        <v>-0.75823736337315983</v>
      </c>
      <c r="BS52" s="70">
        <v>-0.86234077244994323</v>
      </c>
      <c r="BT52" s="70">
        <v>2.7650917302426858</v>
      </c>
      <c r="BU52" s="70">
        <v>0.50209473782325542</v>
      </c>
      <c r="BV52" s="70">
        <v>0.73887218206376559</v>
      </c>
      <c r="BW52" s="70">
        <v>1.620094013525808E-2</v>
      </c>
      <c r="BX52" s="70">
        <v>-0.20219497799381925</v>
      </c>
      <c r="BY52" s="70">
        <v>-0.27187761701047419</v>
      </c>
      <c r="BZ52" s="70">
        <v>-0.58601784838305804</v>
      </c>
      <c r="CA52" s="70">
        <v>0.35362974823964777</v>
      </c>
      <c r="CB52" s="70">
        <v>0.61348865564800903</v>
      </c>
      <c r="CC52" s="70">
        <v>-0.375090414781587</v>
      </c>
      <c r="CD52" s="70">
        <v>0.10420989263082436</v>
      </c>
      <c r="CE52" s="70">
        <v>-1.6881863344619941E-2</v>
      </c>
      <c r="CF52" s="70">
        <v>0.30083187799210265</v>
      </c>
      <c r="CG52" s="70">
        <v>0.8339846235343007</v>
      </c>
      <c r="CH52" s="70">
        <v>0.62678532787903141</v>
      </c>
      <c r="CI52" s="70">
        <v>1.0240655826521117</v>
      </c>
      <c r="CJ52" s="70">
        <v>-0.38151020430597926</v>
      </c>
      <c r="CK52" s="70">
        <v>-0.54999663242367713</v>
      </c>
      <c r="CL52" s="70">
        <v>-0.51459125874814271</v>
      </c>
      <c r="CM52" s="70">
        <v>-0.97917125133709648</v>
      </c>
      <c r="CN52" s="70">
        <v>-0.15420169534990924</v>
      </c>
      <c r="CO52" s="70">
        <v>-0.54545338865974458</v>
      </c>
      <c r="CP52" s="70">
        <v>-0.67893719449049206</v>
      </c>
      <c r="CQ52" s="70">
        <v>-0.18433862310722748</v>
      </c>
      <c r="CR52" s="70">
        <v>0.31521917699577351</v>
      </c>
      <c r="CS52" s="70">
        <v>-0.14191742382917427</v>
      </c>
      <c r="CT52" s="70">
        <v>-0.17154069129289296</v>
      </c>
      <c r="CU52" s="70">
        <v>2.2156414391494295E-2</v>
      </c>
      <c r="CV52" s="70">
        <v>-0.2057642061497722</v>
      </c>
      <c r="CW52" s="70">
        <v>-0.60759512592239995</v>
      </c>
      <c r="CX52" s="70">
        <v>-0.24895218912366346</v>
      </c>
      <c r="CY52" s="70">
        <v>-0.30105181786904689</v>
      </c>
      <c r="CZ52" s="70">
        <v>-0.75307811472750119</v>
      </c>
      <c r="DA52" s="70">
        <v>-0.59852115648016957</v>
      </c>
      <c r="DB52" s="70">
        <v>1.5172032225532206</v>
      </c>
      <c r="DC52" s="70">
        <v>1.1837549118487445E-3</v>
      </c>
      <c r="DD52" s="70">
        <v>-0.17445075098376783</v>
      </c>
      <c r="DE52" s="70">
        <v>8.1311430763020276E-2</v>
      </c>
      <c r="DF52" s="70">
        <v>2.1407317412841964</v>
      </c>
      <c r="DG52" s="46"/>
      <c r="DH52" s="46"/>
      <c r="DI52" s="46"/>
    </row>
    <row r="53" spans="1:113" ht="15.5" x14ac:dyDescent="0.35">
      <c r="A53" s="88"/>
      <c r="B53" s="80">
        <v>259</v>
      </c>
      <c r="C53" s="80" t="s">
        <v>123</v>
      </c>
      <c r="D53" s="13" t="s">
        <v>124</v>
      </c>
      <c r="E53" s="33">
        <f>VLOOKUP(C53,[1]CLASSI_EAI!A:G,7,FALSE)</f>
        <v>31.266363843842001</v>
      </c>
      <c r="F53" s="13">
        <v>0.1349837151942257</v>
      </c>
      <c r="G53" s="13">
        <v>5.8095428811366645E-2</v>
      </c>
      <c r="H53" s="13">
        <v>-7.948980940770678E-2</v>
      </c>
      <c r="I53" s="13">
        <v>0.49010908859170588</v>
      </c>
      <c r="J53" s="13">
        <v>1.2017314701617821E-2</v>
      </c>
      <c r="K53" s="13">
        <v>-0.19949955296012511</v>
      </c>
      <c r="L53" s="13">
        <v>0.21526600474464086</v>
      </c>
      <c r="M53" s="13">
        <v>0.32107474367408795</v>
      </c>
      <c r="N53" s="13">
        <v>0.28798628393122971</v>
      </c>
      <c r="O53" s="13">
        <v>0.47043618990489922</v>
      </c>
      <c r="P53" s="13">
        <v>0.37157674600802881</v>
      </c>
      <c r="Q53" s="13">
        <v>1.4068587897387186</v>
      </c>
      <c r="R53" s="13">
        <v>-0.97481694744820935</v>
      </c>
      <c r="S53" s="13">
        <v>-0.23944292993263172</v>
      </c>
      <c r="T53" s="13">
        <v>0.88280200403858533</v>
      </c>
      <c r="U53" s="13">
        <v>0.3143144888786864</v>
      </c>
      <c r="V53" s="13">
        <v>-1.408556560987817E-2</v>
      </c>
      <c r="W53" s="13">
        <v>0.909819710363724</v>
      </c>
      <c r="X53" s="13">
        <v>0.53835963619663918</v>
      </c>
      <c r="Y53" s="13">
        <v>-0.37189088675418924</v>
      </c>
      <c r="Z53" s="13">
        <v>0.7673448536874794</v>
      </c>
      <c r="AA53" s="13">
        <v>0.38547882528499056</v>
      </c>
      <c r="AB53" s="13">
        <v>0.35590341426186001</v>
      </c>
      <c r="AC53" s="13">
        <v>-0.45375975467422114</v>
      </c>
      <c r="AD53" s="13">
        <v>5.614470055783749</v>
      </c>
      <c r="AE53" s="13">
        <v>-3.4648126497971443E-2</v>
      </c>
      <c r="AF53" s="13">
        <v>-0.18958936918080926</v>
      </c>
      <c r="AG53" s="13">
        <v>0.26168040991607633</v>
      </c>
      <c r="AH53" s="13">
        <v>1.5558163077367126E-2</v>
      </c>
      <c r="AI53" s="13">
        <v>-0.23714373324037474</v>
      </c>
      <c r="AJ53" s="13">
        <v>5.455115212871231E-2</v>
      </c>
      <c r="AK53" s="13">
        <v>-4.9880046136452361E-2</v>
      </c>
      <c r="AL53" s="13">
        <v>1.2067802299523089</v>
      </c>
      <c r="AM53" s="13">
        <v>0.15813173101879574</v>
      </c>
      <c r="AN53" s="13">
        <v>7.0168693540462179E-2</v>
      </c>
      <c r="AO53" s="13">
        <v>-0.6589961394486199</v>
      </c>
      <c r="AP53" s="13">
        <v>-0.4291944639855938</v>
      </c>
      <c r="AQ53" s="13">
        <v>-0.32726042494062302</v>
      </c>
      <c r="AR53" s="13">
        <v>0.22180327238765507</v>
      </c>
      <c r="AS53" s="13">
        <v>0.31198164097565595</v>
      </c>
      <c r="AT53" s="13">
        <v>0.71490613446651974</v>
      </c>
      <c r="AU53" s="13">
        <v>-0.55497228611974814</v>
      </c>
      <c r="AV53" s="13">
        <v>1.4451131027908737</v>
      </c>
      <c r="AW53" s="13">
        <v>-9.6594146138107018E-2</v>
      </c>
      <c r="AX53" s="13">
        <v>-5.640887111983961E-2</v>
      </c>
      <c r="AY53" s="13">
        <v>-0.5038938142781002</v>
      </c>
      <c r="AZ53" s="13">
        <v>-0.90995173907644222</v>
      </c>
      <c r="BA53" s="13">
        <v>-0.16293968691453165</v>
      </c>
      <c r="BB53" s="13">
        <v>-0.83515369970644793</v>
      </c>
      <c r="BC53" s="13">
        <v>-0.60210505473936582</v>
      </c>
      <c r="BD53" s="13">
        <v>-8.4271824850645771E-2</v>
      </c>
      <c r="BE53" s="13">
        <v>0.64756515033814743</v>
      </c>
      <c r="BF53" s="13">
        <v>-0.37002244903803216</v>
      </c>
      <c r="BG53" s="13">
        <v>4.5395525481883858E-2</v>
      </c>
      <c r="BH53" s="13">
        <v>1.0867514677817214</v>
      </c>
      <c r="BI53" s="13">
        <v>1.805824036108028</v>
      </c>
      <c r="BJ53" s="13">
        <v>1.1809157865479314</v>
      </c>
      <c r="BK53" s="13">
        <v>-0.23251260072094659</v>
      </c>
      <c r="BL53" s="13">
        <v>3.1759399920012088</v>
      </c>
      <c r="BM53" s="13">
        <v>1.4513443427930373</v>
      </c>
      <c r="BN53" s="13">
        <v>0.75647996883754232</v>
      </c>
      <c r="BO53" s="13">
        <v>0.26034970570054661</v>
      </c>
      <c r="BP53" s="13">
        <v>0.89428289451201071</v>
      </c>
      <c r="BQ53" s="13">
        <v>-0.56667821165240495</v>
      </c>
      <c r="BR53" s="13">
        <v>-0.75823736337315983</v>
      </c>
      <c r="BS53" s="13">
        <v>-0.86234077244994323</v>
      </c>
      <c r="BT53" s="13">
        <v>2.7650917302426858</v>
      </c>
      <c r="BU53" s="13">
        <v>0.50209473782325542</v>
      </c>
      <c r="BV53" s="13">
        <v>0.73887218206376559</v>
      </c>
      <c r="BW53" s="13">
        <v>1.620094013525808E-2</v>
      </c>
      <c r="BX53" s="13">
        <v>-0.20219497799381925</v>
      </c>
      <c r="BY53" s="13">
        <v>-0.27187761701047419</v>
      </c>
      <c r="BZ53" s="13">
        <v>-0.58601784838305804</v>
      </c>
      <c r="CA53" s="13">
        <v>0.35362974823964777</v>
      </c>
      <c r="CB53" s="13">
        <v>0.61348865564800903</v>
      </c>
      <c r="CC53" s="13">
        <v>-0.375090414781587</v>
      </c>
      <c r="CD53" s="13">
        <v>0.10420989263082436</v>
      </c>
      <c r="CE53" s="13">
        <v>-1.6881863344619941E-2</v>
      </c>
      <c r="CF53" s="13">
        <v>0.30083187799210265</v>
      </c>
      <c r="CG53" s="13">
        <v>0.8339846235343007</v>
      </c>
      <c r="CH53" s="13">
        <v>0.62678532787903141</v>
      </c>
      <c r="CI53" s="13">
        <v>1.0240655826521117</v>
      </c>
      <c r="CJ53" s="13">
        <v>-0.38151020430597926</v>
      </c>
      <c r="CK53" s="13">
        <v>-0.54999663242367713</v>
      </c>
      <c r="CL53" s="13">
        <v>-0.51459125874814271</v>
      </c>
      <c r="CM53" s="13">
        <v>-0.97917125133709648</v>
      </c>
      <c r="CN53" s="13">
        <v>-0.15420169534990924</v>
      </c>
      <c r="CO53" s="13">
        <v>-0.54545338865974458</v>
      </c>
      <c r="CP53" s="13">
        <v>-0.67893719449049206</v>
      </c>
      <c r="CQ53" s="13">
        <v>-0.18433862310722748</v>
      </c>
      <c r="CR53" s="13">
        <v>0.31521917699577351</v>
      </c>
      <c r="CS53" s="13">
        <v>-0.14191742382917427</v>
      </c>
      <c r="CT53" s="13">
        <v>-0.17154069129289296</v>
      </c>
      <c r="CU53" s="13">
        <v>2.2156414391494295E-2</v>
      </c>
      <c r="CV53" s="13">
        <v>-0.2057642061497722</v>
      </c>
      <c r="CW53" s="13">
        <v>-0.60759512592239995</v>
      </c>
      <c r="CX53" s="13">
        <v>-0.24895218912366346</v>
      </c>
      <c r="CY53" s="13">
        <v>-0.30105181786904689</v>
      </c>
      <c r="CZ53" s="13">
        <v>-0.75307811472750119</v>
      </c>
      <c r="DA53" s="13">
        <v>-0.59852115648016957</v>
      </c>
      <c r="DB53" s="13">
        <v>1.5172032225532206</v>
      </c>
      <c r="DC53" s="13">
        <v>1.1837549118487445E-3</v>
      </c>
      <c r="DD53" s="13">
        <v>-0.17445075098376783</v>
      </c>
      <c r="DE53" s="13">
        <v>8.1311430763020276E-2</v>
      </c>
      <c r="DF53" s="13">
        <v>2.1407317412841964</v>
      </c>
    </row>
    <row r="54" spans="1:113" ht="15.5" x14ac:dyDescent="0.35">
      <c r="A54" s="83">
        <v>27</v>
      </c>
      <c r="B54" s="83"/>
      <c r="C54" s="83"/>
      <c r="D54" s="45" t="s">
        <v>27</v>
      </c>
      <c r="E54" s="24">
        <f>E55+E56</f>
        <v>3.75159979771992</v>
      </c>
      <c r="F54" s="70">
        <v>6.8063449909505636E-3</v>
      </c>
      <c r="G54" s="70">
        <v>2.93055143887333E-3</v>
      </c>
      <c r="H54" s="70">
        <v>-6.7135795351777938</v>
      </c>
      <c r="I54" s="70">
        <v>2.3298093468904213E-2</v>
      </c>
      <c r="J54" s="70">
        <v>-9.949285388645146E-2</v>
      </c>
      <c r="K54" s="70">
        <v>-9.5069134565806124E-3</v>
      </c>
      <c r="L54" s="70">
        <v>1.0238038153520534E-2</v>
      </c>
      <c r="M54" s="70">
        <v>4.2026072656158542</v>
      </c>
      <c r="N54" s="70">
        <v>1.3140680606715804E-2</v>
      </c>
      <c r="O54" s="70">
        <v>0.24204036094215287</v>
      </c>
      <c r="P54" s="70">
        <v>1.6989890877994185E-2</v>
      </c>
      <c r="Q54" s="70">
        <v>6.403702629598218E-2</v>
      </c>
      <c r="R54" s="70">
        <v>0.26660741430604151</v>
      </c>
      <c r="S54" s="70">
        <v>1.8378433507122649</v>
      </c>
      <c r="T54" s="70">
        <v>3.966231827725597E-2</v>
      </c>
      <c r="U54" s="70">
        <v>-1.2572685336664779E-2</v>
      </c>
      <c r="V54" s="70">
        <v>-2.1326046718672664E-2</v>
      </c>
      <c r="W54" s="70">
        <v>-1.4435674453017189E-2</v>
      </c>
      <c r="X54" s="70">
        <v>-6.6144222069963732E-3</v>
      </c>
      <c r="Y54" s="70">
        <v>5.0818489196990946E-2</v>
      </c>
      <c r="Z54" s="70">
        <v>1.8944841593371287E-2</v>
      </c>
      <c r="AA54" s="70">
        <v>1.7367065803686188E-2</v>
      </c>
      <c r="AB54" s="70">
        <v>1.6039492991959392E-2</v>
      </c>
      <c r="AC54" s="70">
        <v>-2.0528363553640183E-2</v>
      </c>
      <c r="AD54" s="70">
        <v>-1.8375283519445063E-2</v>
      </c>
      <c r="AE54" s="70">
        <v>-1.5639091287211748E-3</v>
      </c>
      <c r="AF54" s="70">
        <v>-1.0388332237887266E-2</v>
      </c>
      <c r="AG54" s="70">
        <v>-1.0458994010293488</v>
      </c>
      <c r="AH54" s="70">
        <v>7.0959011320148591E-4</v>
      </c>
      <c r="AI54" s="70">
        <v>-1.2061136412533369E-2</v>
      </c>
      <c r="AJ54" s="70">
        <v>2.4873022625548913E-3</v>
      </c>
      <c r="AK54" s="70">
        <v>-2.275455519540337E-3</v>
      </c>
      <c r="AL54" s="70">
        <v>5.4737819299766066E-2</v>
      </c>
      <c r="AM54" s="70">
        <v>7.210559920745041E-3</v>
      </c>
      <c r="AN54" s="70">
        <v>3.2010853292518959E-3</v>
      </c>
      <c r="AO54" s="70">
        <v>-3.0164430099610673E-2</v>
      </c>
      <c r="AP54" s="70">
        <v>-1.6875273521377299E-2</v>
      </c>
      <c r="AQ54" s="70">
        <v>-1.4950317409234692E-2</v>
      </c>
      <c r="AR54" s="70">
        <v>-3.6458353381926156</v>
      </c>
      <c r="AS54" s="70">
        <v>1.4749430185334589E-2</v>
      </c>
      <c r="AT54" s="70">
        <v>-5.4766595358857195E-3</v>
      </c>
      <c r="AU54" s="70">
        <v>-2.6343231962155933E-2</v>
      </c>
      <c r="AV54" s="70">
        <v>0.99089325072596601</v>
      </c>
      <c r="AW54" s="70">
        <v>1.7840097912806163</v>
      </c>
      <c r="AX54" s="70">
        <v>-2.7356422050095475E-3</v>
      </c>
      <c r="AY54" s="70">
        <v>6.4912707410718973</v>
      </c>
      <c r="AZ54" s="70">
        <v>-4.6568149196413167E-2</v>
      </c>
      <c r="BA54" s="70">
        <v>1.3247730116331402</v>
      </c>
      <c r="BB54" s="70">
        <v>8.0483325734848066E-3</v>
      </c>
      <c r="BC54" s="70">
        <v>0.20789243659606882</v>
      </c>
      <c r="BD54" s="70">
        <v>-4.3465016428823056E-3</v>
      </c>
      <c r="BE54" s="70">
        <v>3.3269033381699842E-2</v>
      </c>
      <c r="BF54" s="70">
        <v>-1.9113670276860173E-2</v>
      </c>
      <c r="BG54" s="70">
        <v>0.30235332471097998</v>
      </c>
      <c r="BH54" s="70">
        <v>-1.7747006029011914E-2</v>
      </c>
      <c r="BI54" s="70">
        <v>0</v>
      </c>
      <c r="BJ54" s="70">
        <v>0</v>
      </c>
      <c r="BK54" s="70">
        <v>1.7138438938860689</v>
      </c>
      <c r="BL54" s="70">
        <v>3.4401561787911206E-2</v>
      </c>
      <c r="BM54" s="70">
        <v>7.3289546519150761E-2</v>
      </c>
      <c r="BN54" s="70">
        <v>2.7751639869988409E-2</v>
      </c>
      <c r="BO54" s="70">
        <v>2.5364971304187023E-2</v>
      </c>
      <c r="BP54" s="70">
        <v>-4.4021292160523195E-3</v>
      </c>
      <c r="BQ54" s="70">
        <v>-1.892910277523363E-3</v>
      </c>
      <c r="BR54" s="70">
        <v>2.7660934756935429</v>
      </c>
      <c r="BS54" s="70">
        <v>-4.2831655567110438E-2</v>
      </c>
      <c r="BT54" s="70">
        <v>0.15458195891140392</v>
      </c>
      <c r="BU54" s="70">
        <v>-4.9142516790223745E-3</v>
      </c>
      <c r="BV54" s="70">
        <v>3.6363233286795804E-2</v>
      </c>
      <c r="BW54" s="70">
        <v>8.0017723220748849E-4</v>
      </c>
      <c r="BX54" s="70">
        <v>-9.9965755031350412E-3</v>
      </c>
      <c r="BY54" s="70">
        <v>-1.3150345159711807</v>
      </c>
      <c r="BZ54" s="70">
        <v>-2.8706647396337104E-2</v>
      </c>
      <c r="CA54" s="70">
        <v>1.724475540187953E-2</v>
      </c>
      <c r="CB54" s="70">
        <v>2.9926069160368662E-2</v>
      </c>
      <c r="CC54" s="70">
        <v>1.0682623736046892E-2</v>
      </c>
      <c r="CD54" s="70">
        <v>1.5923548413621091E-2</v>
      </c>
      <c r="CE54" s="70">
        <v>-8.2513905382830544E-4</v>
      </c>
      <c r="CF54" s="70">
        <v>1.4611430556232818E-2</v>
      </c>
      <c r="CG54" s="70">
        <v>0.27411670633006313</v>
      </c>
      <c r="CH54" s="70">
        <v>1.3018651001628356E-2</v>
      </c>
      <c r="CI54" s="70">
        <v>-4.314504978940592E-2</v>
      </c>
      <c r="CJ54" s="70">
        <v>-1.8718190840216753E-2</v>
      </c>
      <c r="CK54" s="70">
        <v>0.62814792408638631</v>
      </c>
      <c r="CL54" s="70">
        <v>-2.5389799384678557E-2</v>
      </c>
      <c r="CM54" s="70">
        <v>1.0964767570453837E-2</v>
      </c>
      <c r="CN54" s="70">
        <v>-1.1344353085838255</v>
      </c>
      <c r="CO54" s="70">
        <v>-2.6659874658929716E-2</v>
      </c>
      <c r="CP54" s="70">
        <v>6.6177575524184462E-3</v>
      </c>
      <c r="CQ54" s="70">
        <v>-8.9945795987422805E-3</v>
      </c>
      <c r="CR54" s="70">
        <v>0.46298311045964713</v>
      </c>
      <c r="CS54" s="70">
        <v>-6.7091615669534477E-3</v>
      </c>
      <c r="CT54" s="70">
        <v>1.455565226255584</v>
      </c>
      <c r="CU54" s="70">
        <v>1.0968967091962156E-3</v>
      </c>
      <c r="CV54" s="70">
        <v>-1.0197433085457064E-2</v>
      </c>
      <c r="CW54" s="70">
        <v>-3.0164527116771644E-2</v>
      </c>
      <c r="CX54" s="70">
        <v>-1.2336176957028488E-2</v>
      </c>
      <c r="CY54" s="70">
        <v>-1.4572965133874405E-2</v>
      </c>
      <c r="CZ54" s="70">
        <v>-3.6525269473686173E-2</v>
      </c>
      <c r="DA54" s="70">
        <v>-2.8999993630274279E-2</v>
      </c>
      <c r="DB54" s="70">
        <v>7.2791947478512142E-2</v>
      </c>
      <c r="DC54" s="70">
        <v>0.45558707756969685</v>
      </c>
      <c r="DD54" s="70">
        <v>-8.4702293464355982E-3</v>
      </c>
      <c r="DE54" s="70">
        <v>3.6726680268841294</v>
      </c>
      <c r="DF54" s="70">
        <v>0.1057781845105854</v>
      </c>
      <c r="DG54" s="46"/>
      <c r="DH54" s="46"/>
      <c r="DI54" s="46"/>
    </row>
    <row r="55" spans="1:113" ht="15.5" x14ac:dyDescent="0.35">
      <c r="A55" s="88"/>
      <c r="B55" s="80">
        <v>272</v>
      </c>
      <c r="C55" s="80">
        <v>2720</v>
      </c>
      <c r="D55" s="13" t="s">
        <v>115</v>
      </c>
      <c r="E55" s="33">
        <f>[1]CLASSI_EAI!G995</f>
        <v>1.6583732048118001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8.9729994597207643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3.8097221807745996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-2.1312221300011314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-7.4477132037629286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3.9991924501779241</v>
      </c>
      <c r="BL55" s="13">
        <v>0</v>
      </c>
      <c r="BM55" s="13">
        <v>0</v>
      </c>
      <c r="BN55" s="13">
        <v>0</v>
      </c>
      <c r="BO55" s="13">
        <v>2.2204460492503131E-14</v>
      </c>
      <c r="BP55" s="13">
        <v>0</v>
      </c>
      <c r="BQ55" s="13">
        <v>0</v>
      </c>
      <c r="BR55" s="13">
        <v>6.4915311774906614</v>
      </c>
      <c r="BS55" s="13">
        <v>0</v>
      </c>
      <c r="BT55" s="13">
        <v>0.34127708571596305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-1.1102230246251565E-14</v>
      </c>
      <c r="CS55" s="13">
        <v>0</v>
      </c>
      <c r="CT55" s="13">
        <v>2.2204460492503131E-14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</row>
    <row r="56" spans="1:113" ht="15.5" x14ac:dyDescent="0.35">
      <c r="A56" s="88"/>
      <c r="B56" s="80">
        <v>273</v>
      </c>
      <c r="C56" s="80">
        <v>2732</v>
      </c>
      <c r="D56" s="13" t="s">
        <v>116</v>
      </c>
      <c r="E56" s="33">
        <f>[1]CLASSI_EAI!G1007</f>
        <v>2.09322659290812</v>
      </c>
      <c r="F56" s="13">
        <v>1.2084867339035021E-2</v>
      </c>
      <c r="G56" s="13">
        <v>5.2030063472097154E-3</v>
      </c>
      <c r="H56" s="13">
        <v>-11.919259537691385</v>
      </c>
      <c r="I56" s="13">
        <v>4.3807956314823038E-2</v>
      </c>
      <c r="J56" s="13">
        <v>-0.18704041407762162</v>
      </c>
      <c r="K56" s="13">
        <v>-1.7888085704764745E-2</v>
      </c>
      <c r="L56" s="13">
        <v>1.9265375319621469E-2</v>
      </c>
      <c r="M56" s="13">
        <v>-2.8511702329980793E-3</v>
      </c>
      <c r="N56" s="13">
        <v>2.5765012584799685E-2</v>
      </c>
      <c r="O56" s="13">
        <v>0.47451011556689515</v>
      </c>
      <c r="P56" s="13">
        <v>3.3230912982462613E-2</v>
      </c>
      <c r="Q56" s="13">
        <v>0.12523113704498989</v>
      </c>
      <c r="R56" s="13">
        <v>0.52106017265807214</v>
      </c>
      <c r="S56" s="13">
        <v>-3.4381926193827184E-2</v>
      </c>
      <c r="T56" s="13">
        <v>7.8768313998511807E-2</v>
      </c>
      <c r="U56" s="13">
        <v>-2.4959263505230922E-2</v>
      </c>
      <c r="V56" s="13">
        <v>-4.2341659984279634E-2</v>
      </c>
      <c r="W56" s="13">
        <v>-2.8667241314417335E-2</v>
      </c>
      <c r="X56" s="13">
        <v>-1.3137192267920206E-2</v>
      </c>
      <c r="Y56" s="13">
        <v>0.10093940105180277</v>
      </c>
      <c r="Z56" s="13">
        <v>3.7610789054998151E-2</v>
      </c>
      <c r="AA56" s="13">
        <v>3.447203119344433E-2</v>
      </c>
      <c r="AB56" s="13">
        <v>3.1831477225585658E-2</v>
      </c>
      <c r="AC56" s="13">
        <v>-4.0733518052815665E-2</v>
      </c>
      <c r="AD56" s="13">
        <v>-3.6468627233066098E-2</v>
      </c>
      <c r="AE56" s="13">
        <v>-3.1043843233380386E-3</v>
      </c>
      <c r="AF56" s="13">
        <v>-2.0621321253233571E-2</v>
      </c>
      <c r="AG56" s="13">
        <v>2.3414325690107596E-2</v>
      </c>
      <c r="AH56" s="13">
        <v>1.3936534104086462E-3</v>
      </c>
      <c r="AI56" s="13">
        <v>-2.3688223102114048E-2</v>
      </c>
      <c r="AJ56" s="13">
        <v>4.8856609508929338E-3</v>
      </c>
      <c r="AK56" s="13">
        <v>-4.4694357133834295E-3</v>
      </c>
      <c r="AL56" s="13">
        <v>0.10751804643103213</v>
      </c>
      <c r="AM56" s="13">
        <v>1.4155780755320535E-2</v>
      </c>
      <c r="AN56" s="13">
        <v>6.2839385423618666E-3</v>
      </c>
      <c r="AO56" s="13">
        <v>-5.9212911306472105E-2</v>
      </c>
      <c r="AP56" s="13">
        <v>-3.3135865829081457E-2</v>
      </c>
      <c r="AQ56" s="13">
        <v>-2.9360845113046707E-2</v>
      </c>
      <c r="AR56" s="13">
        <v>1.9849842817531993E-2</v>
      </c>
      <c r="AS56" s="13">
        <v>2.7908742698246058E-2</v>
      </c>
      <c r="AT56" s="13">
        <v>-1.0361523933632988E-2</v>
      </c>
      <c r="AU56" s="13">
        <v>-4.9842310187231398E-2</v>
      </c>
      <c r="AV56" s="13">
        <v>1.8752452411471721</v>
      </c>
      <c r="AW56" s="13">
        <v>3.3468941820938625</v>
      </c>
      <c r="AX56" s="13">
        <v>-5.0545927451128847E-3</v>
      </c>
      <c r="AY56" s="13">
        <v>11.994072484021956</v>
      </c>
      <c r="AZ56" s="13">
        <v>-8.1817253287652658E-2</v>
      </c>
      <c r="BA56" s="13">
        <v>2.3283623775200546</v>
      </c>
      <c r="BB56" s="13">
        <v>1.4006661422549804E-2</v>
      </c>
      <c r="BC56" s="13">
        <v>0.36177748249111019</v>
      </c>
      <c r="BD56" s="13">
        <v>-7.5522485557200092E-3</v>
      </c>
      <c r="BE56" s="13">
        <v>5.7808344547471968E-2</v>
      </c>
      <c r="BF56" s="13">
        <v>-3.320380964449976E-2</v>
      </c>
      <c r="BG56" s="13">
        <v>0.5253149767855847</v>
      </c>
      <c r="BH56" s="13">
        <v>-3.0765629892592905E-2</v>
      </c>
      <c r="BI56" s="13">
        <v>0</v>
      </c>
      <c r="BJ56" s="13">
        <v>0</v>
      </c>
      <c r="BK56" s="13">
        <v>3.6870919470310959E-2</v>
      </c>
      <c r="BL56" s="13">
        <v>6.0645055104502354E-2</v>
      </c>
      <c r="BM56" s="13">
        <v>0.12916514926080147</v>
      </c>
      <c r="BN56" s="13">
        <v>4.8882065368416328E-2</v>
      </c>
      <c r="BO56" s="13">
        <v>4.4668723170149249E-2</v>
      </c>
      <c r="BP56" s="13">
        <v>-7.7508287901317807E-3</v>
      </c>
      <c r="BQ56" s="13">
        <v>-3.3329586895058938E-3</v>
      </c>
      <c r="BR56" s="13">
        <v>-6.816101746239811E-2</v>
      </c>
      <c r="BS56" s="13">
        <v>-7.7556282768109774E-2</v>
      </c>
      <c r="BT56" s="13">
        <v>3.1063643806339414E-3</v>
      </c>
      <c r="BU56" s="13">
        <v>-8.9149261243037792E-3</v>
      </c>
      <c r="BV56" s="13">
        <v>6.5969048785485818E-2</v>
      </c>
      <c r="BW56" s="13">
        <v>1.4512271984568059E-3</v>
      </c>
      <c r="BX56" s="13">
        <v>-1.8129993243165554E-2</v>
      </c>
      <c r="BY56" s="13">
        <v>-2.3851674373367437</v>
      </c>
      <c r="BZ56" s="13">
        <v>-5.2637999357985077E-2</v>
      </c>
      <c r="CA56" s="13">
        <v>3.162845028774619E-2</v>
      </c>
      <c r="CB56" s="13">
        <v>5.4879241130501022E-2</v>
      </c>
      <c r="CC56" s="13">
        <v>1.9585200848637463E-2</v>
      </c>
      <c r="CD56" s="13">
        <v>2.9191155931673762E-2</v>
      </c>
      <c r="CE56" s="13">
        <v>-1.5124498230600913E-3</v>
      </c>
      <c r="CF56" s="13">
        <v>2.6782403946024047E-2</v>
      </c>
      <c r="CG56" s="13">
        <v>0.50238825252224562</v>
      </c>
      <c r="CH56" s="13">
        <v>2.3805780149954714E-2</v>
      </c>
      <c r="CI56" s="13">
        <v>-7.8886115106269195E-2</v>
      </c>
      <c r="CJ56" s="13">
        <v>-3.4236454368463676E-2</v>
      </c>
      <c r="CK56" s="13">
        <v>1.149090548084386</v>
      </c>
      <c r="CL56" s="13">
        <v>-4.6207140154486126E-2</v>
      </c>
      <c r="CM56" s="13">
        <v>1.9959041981421066E-2</v>
      </c>
      <c r="CN56" s="13">
        <v>-2.0648140240802748</v>
      </c>
      <c r="CO56" s="13">
        <v>-4.8985281509172918E-2</v>
      </c>
      <c r="CP56" s="13">
        <v>1.2162289926731518E-2</v>
      </c>
      <c r="CQ56" s="13">
        <v>-1.6529559944800098E-2</v>
      </c>
      <c r="CR56" s="13">
        <v>0.85089955946522355</v>
      </c>
      <c r="CS56" s="13">
        <v>-1.2283091708975569E-2</v>
      </c>
      <c r="CT56" s="13">
        <v>2.6649884133184143</v>
      </c>
      <c r="CU56" s="13">
        <v>1.9846452969041195E-3</v>
      </c>
      <c r="CV56" s="13">
        <v>-1.8450331542019249E-2</v>
      </c>
      <c r="CW56" s="13">
        <v>-5.4581526651054091E-2</v>
      </c>
      <c r="CX56" s="13">
        <v>-2.2327280811351713E-2</v>
      </c>
      <c r="CY56" s="13">
        <v>-2.6378285729355966E-2</v>
      </c>
      <c r="CZ56" s="13">
        <v>-6.6121599610780013E-2</v>
      </c>
      <c r="DA56" s="13">
        <v>-5.2514160415284561E-2</v>
      </c>
      <c r="DB56" s="13">
        <v>0.1318451094255213</v>
      </c>
      <c r="DC56" s="13">
        <v>0.82469978424706269</v>
      </c>
      <c r="DD56" s="13">
        <v>-1.5276603689939883E-2</v>
      </c>
      <c r="DE56" s="13">
        <v>6.6243440404212484</v>
      </c>
      <c r="DF56" s="13">
        <v>0.18550909955907802</v>
      </c>
    </row>
    <row r="57" spans="1:113" ht="15.5" x14ac:dyDescent="0.35">
      <c r="A57" s="83">
        <v>31</v>
      </c>
      <c r="B57" s="83"/>
      <c r="C57" s="83"/>
      <c r="D57" s="45" t="s">
        <v>28</v>
      </c>
      <c r="E57" s="48">
        <f>E58</f>
        <v>91.576484518953094</v>
      </c>
      <c r="F57" s="70">
        <v>1.4772992920498274</v>
      </c>
      <c r="G57" s="70">
        <v>3.2636277023589955E-2</v>
      </c>
      <c r="H57" s="70">
        <v>-0.12494431674739959</v>
      </c>
      <c r="I57" s="70">
        <v>0.93921056095309652</v>
      </c>
      <c r="J57" s="70">
        <v>0.61757660302454997</v>
      </c>
      <c r="K57" s="70">
        <v>0.76449509767098078</v>
      </c>
      <c r="L57" s="70">
        <v>0.1435743043065596</v>
      </c>
      <c r="M57" s="70">
        <v>1.5931410972089388</v>
      </c>
      <c r="N57" s="70">
        <v>1.0449051468258697</v>
      </c>
      <c r="O57" s="70">
        <v>-0.2537042010439694</v>
      </c>
      <c r="P57" s="70">
        <v>0.30989249939104013</v>
      </c>
      <c r="Q57" s="70">
        <v>0.47477875488208809</v>
      </c>
      <c r="R57" s="70">
        <v>0.10798292830516143</v>
      </c>
      <c r="S57" s="70">
        <v>0.73942943455818089</v>
      </c>
      <c r="T57" s="70">
        <v>0.17504266627232923</v>
      </c>
      <c r="U57" s="70">
        <v>-5.2137765768323074E-2</v>
      </c>
      <c r="V57" s="70">
        <v>0.57921127638871361</v>
      </c>
      <c r="W57" s="70">
        <v>8.9047759661631254E-2</v>
      </c>
      <c r="X57" s="70">
        <v>0.53910002158552572</v>
      </c>
      <c r="Y57" s="70">
        <v>-7.2880200279568097E-2</v>
      </c>
      <c r="Z57" s="70">
        <v>-0.22289477117176659</v>
      </c>
      <c r="AA57" s="70">
        <v>0.36994554769398391</v>
      </c>
      <c r="AB57" s="70">
        <v>-5.521661020033708E-2</v>
      </c>
      <c r="AC57" s="70">
        <v>0.14205814005585626</v>
      </c>
      <c r="AD57" s="70">
        <v>-0.11816465347354033</v>
      </c>
      <c r="AE57" s="70">
        <v>-0.1617723626764711</v>
      </c>
      <c r="AF57" s="70">
        <v>0.58951752030329541</v>
      </c>
      <c r="AG57" s="70">
        <v>0.57761400082740888</v>
      </c>
      <c r="AH57" s="70">
        <v>0.90811828747798806</v>
      </c>
      <c r="AI57" s="70">
        <v>0.11339292652718935</v>
      </c>
      <c r="AJ57" s="70">
        <v>-0.32817986976286795</v>
      </c>
      <c r="AK57" s="70">
        <v>0.18557520137532091</v>
      </c>
      <c r="AL57" s="70">
        <v>0.20087217384905376</v>
      </c>
      <c r="AM57" s="70">
        <v>0</v>
      </c>
      <c r="AN57" s="70">
        <v>0.34150840265934068</v>
      </c>
      <c r="AO57" s="70">
        <v>5.0656558922246298E-2</v>
      </c>
      <c r="AP57" s="70">
        <v>-0.55948692809180134</v>
      </c>
      <c r="AQ57" s="70">
        <v>0.236295404099085</v>
      </c>
      <c r="AR57" s="70">
        <v>-0.43231858982865079</v>
      </c>
      <c r="AS57" s="70">
        <v>0.29138024147765673</v>
      </c>
      <c r="AT57" s="70">
        <v>-6.0090431237225239E-2</v>
      </c>
      <c r="AU57" s="70">
        <v>0.72908726258020806</v>
      </c>
      <c r="AV57" s="70">
        <v>-0.17112513429488052</v>
      </c>
      <c r="AW57" s="70">
        <v>-5.1858379598612725E-2</v>
      </c>
      <c r="AX57" s="70">
        <v>8.2005041629007458E-2</v>
      </c>
      <c r="AY57" s="70">
        <v>0.52736557410424378</v>
      </c>
      <c r="AZ57" s="70">
        <v>-0.74004516956702737</v>
      </c>
      <c r="BA57" s="70">
        <v>0.62004859736299878</v>
      </c>
      <c r="BB57" s="70">
        <v>3.6374258000337889E-2</v>
      </c>
      <c r="BC57" s="70">
        <v>0.15608914770921523</v>
      </c>
      <c r="BD57" s="70">
        <v>-0.16798099274567546</v>
      </c>
      <c r="BE57" s="70">
        <v>0.12062591883665874</v>
      </c>
      <c r="BF57" s="70">
        <v>0.61858547491435711</v>
      </c>
      <c r="BG57" s="70">
        <v>0.28995520036525502</v>
      </c>
      <c r="BH57" s="70">
        <v>0.10712402835388879</v>
      </c>
      <c r="BI57" s="70">
        <v>0.1480634190914154</v>
      </c>
      <c r="BJ57" s="70">
        <v>0.11339292652718935</v>
      </c>
      <c r="BK57" s="70">
        <v>-5.7142081530492383E-2</v>
      </c>
      <c r="BL57" s="70">
        <v>-1.1833757402690548E-2</v>
      </c>
      <c r="BM57" s="70">
        <v>0.47525467228584084</v>
      </c>
      <c r="BN57" s="70">
        <v>0.86924093363116572</v>
      </c>
      <c r="BO57" s="70">
        <v>-0.13835335404573934</v>
      </c>
      <c r="BP57" s="70">
        <v>1.6635336266920708</v>
      </c>
      <c r="BQ57" s="70">
        <v>0.70309434862365627</v>
      </c>
      <c r="BR57" s="70">
        <v>0.4428102723216476</v>
      </c>
      <c r="BS57" s="70">
        <v>0.28052761118677605</v>
      </c>
      <c r="BT57" s="70">
        <v>-0.23846224107434422</v>
      </c>
      <c r="BU57" s="70">
        <v>0.19242090573352577</v>
      </c>
      <c r="BV57" s="70">
        <v>0.73818116679498225</v>
      </c>
      <c r="BW57" s="70">
        <v>-3.8213909445161676E-2</v>
      </c>
      <c r="BX57" s="70">
        <v>0.31449287521274627</v>
      </c>
      <c r="BY57" s="70">
        <v>7.9136839746518639E-2</v>
      </c>
      <c r="BZ57" s="70">
        <v>0.51075843833854329</v>
      </c>
      <c r="CA57" s="70">
        <v>0</v>
      </c>
      <c r="CB57" s="70">
        <v>0.25897717819582944</v>
      </c>
      <c r="CC57" s="70">
        <v>0.47111702339976969</v>
      </c>
      <c r="CD57" s="70">
        <v>1.2335170542488338</v>
      </c>
      <c r="CE57" s="70">
        <v>0.11785242711495059</v>
      </c>
      <c r="CF57" s="70">
        <v>2.8730848859992442E-2</v>
      </c>
      <c r="CG57" s="70">
        <v>2.998320397393428</v>
      </c>
      <c r="CH57" s="70">
        <v>0.79332826370857035</v>
      </c>
      <c r="CI57" s="70">
        <v>-0.22289477117176659</v>
      </c>
      <c r="CJ57" s="70">
        <v>0</v>
      </c>
      <c r="CK57" s="70">
        <v>0</v>
      </c>
      <c r="CL57" s="70">
        <v>0</v>
      </c>
      <c r="CM57" s="70">
        <v>0.13820872247509719</v>
      </c>
      <c r="CN57" s="70">
        <v>-0.2564224203706833</v>
      </c>
      <c r="CO57" s="70">
        <v>0</v>
      </c>
      <c r="CP57" s="70">
        <v>0</v>
      </c>
      <c r="CQ57" s="70">
        <v>0.76056340319654581</v>
      </c>
      <c r="CR57" s="70">
        <v>0.46369527665583998</v>
      </c>
      <c r="CS57" s="70">
        <v>0.88945294062967584</v>
      </c>
      <c r="CT57" s="70">
        <v>-6.2027649581797295E-2</v>
      </c>
      <c r="CU57" s="70">
        <v>0.18499559311271341</v>
      </c>
      <c r="CV57" s="70">
        <v>-9.3412954065374976E-2</v>
      </c>
      <c r="CW57" s="70">
        <v>0</v>
      </c>
      <c r="CX57" s="70">
        <v>-0.46061345349666105</v>
      </c>
      <c r="CY57" s="70">
        <v>0.35928050023796843</v>
      </c>
      <c r="CZ57" s="70">
        <v>0</v>
      </c>
      <c r="DA57" s="70">
        <v>7.2541490911426365E-2</v>
      </c>
      <c r="DB57" s="70">
        <v>0</v>
      </c>
      <c r="DC57" s="70">
        <v>0</v>
      </c>
      <c r="DD57" s="70">
        <v>8.2318445191686962E-3</v>
      </c>
      <c r="DE57" s="70">
        <v>0.21958437997362523</v>
      </c>
      <c r="DF57" s="70">
        <v>0</v>
      </c>
      <c r="DG57" s="46"/>
      <c r="DH57" s="46"/>
      <c r="DI57" s="46"/>
    </row>
    <row r="58" spans="1:113" ht="15.5" x14ac:dyDescent="0.35">
      <c r="A58" s="88"/>
      <c r="B58" s="80">
        <v>310</v>
      </c>
      <c r="C58" s="80">
        <v>3100</v>
      </c>
      <c r="D58" s="13" t="s">
        <v>28</v>
      </c>
      <c r="E58" s="33">
        <f>[1]CLASSI_EAI!G1035</f>
        <v>91.576484518953094</v>
      </c>
      <c r="F58" s="13">
        <v>1.4772992920498274</v>
      </c>
      <c r="G58" s="13">
        <v>3.2636277023589955E-2</v>
      </c>
      <c r="H58" s="13">
        <v>-0.12494431674739959</v>
      </c>
      <c r="I58" s="13">
        <v>0.93921056095309652</v>
      </c>
      <c r="J58" s="13">
        <v>0.61757660302454997</v>
      </c>
      <c r="K58" s="13">
        <v>0.76449509767098078</v>
      </c>
      <c r="L58" s="13">
        <v>0.1435743043065596</v>
      </c>
      <c r="M58" s="13">
        <v>1.5931410972089388</v>
      </c>
      <c r="N58" s="13">
        <v>1.0449051468258697</v>
      </c>
      <c r="O58" s="13">
        <v>-0.2537042010439694</v>
      </c>
      <c r="P58" s="13">
        <v>0.30989249939104013</v>
      </c>
      <c r="Q58" s="13">
        <v>0.47477875488208809</v>
      </c>
      <c r="R58" s="13">
        <v>0.10798292830516143</v>
      </c>
      <c r="S58" s="13">
        <v>0.73942943455818089</v>
      </c>
      <c r="T58" s="13">
        <v>0.17504266627232923</v>
      </c>
      <c r="U58" s="13">
        <v>-5.2137765768323074E-2</v>
      </c>
      <c r="V58" s="13">
        <v>0.57921127638871361</v>
      </c>
      <c r="W58" s="13">
        <v>8.9047759661631254E-2</v>
      </c>
      <c r="X58" s="13">
        <v>0.53910002158552572</v>
      </c>
      <c r="Y58" s="13">
        <v>-7.2880200279568097E-2</v>
      </c>
      <c r="Z58" s="13">
        <v>-0.22289477117176659</v>
      </c>
      <c r="AA58" s="13">
        <v>0.36994554769398391</v>
      </c>
      <c r="AB58" s="13">
        <v>-5.521661020033708E-2</v>
      </c>
      <c r="AC58" s="13">
        <v>0.14205814005585626</v>
      </c>
      <c r="AD58" s="13">
        <v>-0.11816465347354033</v>
      </c>
      <c r="AE58" s="13">
        <v>-0.1617723626764711</v>
      </c>
      <c r="AF58" s="13">
        <v>0.58951752030329541</v>
      </c>
      <c r="AG58" s="13">
        <v>0.57761400082740888</v>
      </c>
      <c r="AH58" s="13">
        <v>0.90811828747798806</v>
      </c>
      <c r="AI58" s="13">
        <v>0.11339292652718935</v>
      </c>
      <c r="AJ58" s="13">
        <v>-0.32817986976286795</v>
      </c>
      <c r="AK58" s="13">
        <v>0.18557520137532091</v>
      </c>
      <c r="AL58" s="13">
        <v>0.20087217384905376</v>
      </c>
      <c r="AM58" s="13">
        <v>0</v>
      </c>
      <c r="AN58" s="13">
        <v>0.34150840265934068</v>
      </c>
      <c r="AO58" s="13">
        <v>5.0656558922246298E-2</v>
      </c>
      <c r="AP58" s="13">
        <v>-0.55948692809180134</v>
      </c>
      <c r="AQ58" s="13">
        <v>0.236295404099085</v>
      </c>
      <c r="AR58" s="13">
        <v>-0.43231858982865079</v>
      </c>
      <c r="AS58" s="13">
        <v>0.29138024147765673</v>
      </c>
      <c r="AT58" s="13">
        <v>-6.0090431237225239E-2</v>
      </c>
      <c r="AU58" s="13">
        <v>0.72908726258020806</v>
      </c>
      <c r="AV58" s="13">
        <v>-0.17112513429488052</v>
      </c>
      <c r="AW58" s="13">
        <v>-5.1858379598612725E-2</v>
      </c>
      <c r="AX58" s="13">
        <v>8.2005041629007458E-2</v>
      </c>
      <c r="AY58" s="13">
        <v>0.52736557410424378</v>
      </c>
      <c r="AZ58" s="13">
        <v>-0.74004516956702737</v>
      </c>
      <c r="BA58" s="13">
        <v>0.62004859736299878</v>
      </c>
      <c r="BB58" s="13">
        <v>3.6374258000337889E-2</v>
      </c>
      <c r="BC58" s="13">
        <v>0.15608914770921523</v>
      </c>
      <c r="BD58" s="13">
        <v>-0.16798099274567546</v>
      </c>
      <c r="BE58" s="13">
        <v>0.12062591883665874</v>
      </c>
      <c r="BF58" s="13">
        <v>0.61858547491435711</v>
      </c>
      <c r="BG58" s="13">
        <v>0.28995520036525502</v>
      </c>
      <c r="BH58" s="13">
        <v>0.10712402835388879</v>
      </c>
      <c r="BI58" s="13">
        <v>0.1480634190914154</v>
      </c>
      <c r="BJ58" s="13">
        <v>0.11339292652718935</v>
      </c>
      <c r="BK58" s="13">
        <v>-5.7142081530492383E-2</v>
      </c>
      <c r="BL58" s="13">
        <v>-1.1833757402690548E-2</v>
      </c>
      <c r="BM58" s="13">
        <v>0.47525467228584084</v>
      </c>
      <c r="BN58" s="13">
        <v>0.86924093363116572</v>
      </c>
      <c r="BO58" s="13">
        <v>-0.13835335404573934</v>
      </c>
      <c r="BP58" s="13">
        <v>1.6635336266920708</v>
      </c>
      <c r="BQ58" s="13">
        <v>0.70309434862365627</v>
      </c>
      <c r="BR58" s="13">
        <v>0.4428102723216476</v>
      </c>
      <c r="BS58" s="13">
        <v>0.28052761118677605</v>
      </c>
      <c r="BT58" s="13">
        <v>-0.23846224107434422</v>
      </c>
      <c r="BU58" s="13">
        <v>0.19242090573352577</v>
      </c>
      <c r="BV58" s="13">
        <v>0.73818116679498225</v>
      </c>
      <c r="BW58" s="13">
        <v>-3.8213909445161676E-2</v>
      </c>
      <c r="BX58" s="13">
        <v>0.31449287521274627</v>
      </c>
      <c r="BY58" s="13">
        <v>7.9136839746518639E-2</v>
      </c>
      <c r="BZ58" s="13">
        <v>0.51075843833854329</v>
      </c>
      <c r="CA58" s="13">
        <v>0</v>
      </c>
      <c r="CB58" s="13">
        <v>0.25897717819582944</v>
      </c>
      <c r="CC58" s="13">
        <v>0.47111702339976969</v>
      </c>
      <c r="CD58" s="13">
        <v>1.2335170542488338</v>
      </c>
      <c r="CE58" s="13">
        <v>0.11785242711495059</v>
      </c>
      <c r="CF58" s="13">
        <v>2.8730848859992442E-2</v>
      </c>
      <c r="CG58" s="13">
        <v>2.998320397393428</v>
      </c>
      <c r="CH58" s="13">
        <v>0.79332826370857035</v>
      </c>
      <c r="CI58" s="13">
        <v>-0.22289477117176659</v>
      </c>
      <c r="CJ58" s="13">
        <v>0</v>
      </c>
      <c r="CK58" s="13">
        <v>0</v>
      </c>
      <c r="CL58" s="13">
        <v>0</v>
      </c>
      <c r="CM58" s="13">
        <v>0.13820872247509719</v>
      </c>
      <c r="CN58" s="13">
        <v>-0.2564224203706833</v>
      </c>
      <c r="CO58" s="13">
        <v>0</v>
      </c>
      <c r="CP58" s="13">
        <v>0</v>
      </c>
      <c r="CQ58" s="13">
        <v>0.76056340319654581</v>
      </c>
      <c r="CR58" s="13">
        <v>0.46369527665583998</v>
      </c>
      <c r="CS58" s="13">
        <v>0.88945294062967584</v>
      </c>
      <c r="CT58" s="13">
        <v>-6.2027649581797295E-2</v>
      </c>
      <c r="CU58" s="13">
        <v>0.18499559311271341</v>
      </c>
      <c r="CV58" s="13">
        <v>-9.3412954065374976E-2</v>
      </c>
      <c r="CW58" s="13">
        <v>0</v>
      </c>
      <c r="CX58" s="13">
        <v>-0.46061345349666105</v>
      </c>
      <c r="CY58" s="13">
        <v>0.35928050023796843</v>
      </c>
      <c r="CZ58" s="13">
        <v>0</v>
      </c>
      <c r="DA58" s="13">
        <v>7.2541490911426365E-2</v>
      </c>
      <c r="DB58" s="13">
        <v>0</v>
      </c>
      <c r="DC58" s="13">
        <v>0</v>
      </c>
      <c r="DD58" s="13">
        <v>8.2318445191686962E-3</v>
      </c>
      <c r="DE58" s="13">
        <v>0.21958437997362523</v>
      </c>
      <c r="DF58" s="13">
        <v>0</v>
      </c>
    </row>
    <row r="59" spans="1:113" ht="15.5" x14ac:dyDescent="0.35">
      <c r="A59" s="84"/>
      <c r="B59" s="84"/>
      <c r="C59" s="84"/>
      <c r="D59" s="46"/>
      <c r="E59" s="3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</row>
    <row r="60" spans="1:113" ht="15.5" x14ac:dyDescent="0.35">
      <c r="A60" s="85"/>
      <c r="B60" s="85"/>
      <c r="C60" s="85"/>
      <c r="D60" s="77"/>
      <c r="E60" s="33"/>
      <c r="F60" s="77"/>
      <c r="G60" s="78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</row>
    <row r="61" spans="1:113" ht="15.5" x14ac:dyDescent="0.35">
      <c r="A61" s="86"/>
      <c r="B61" s="86"/>
      <c r="C61" s="86" t="s">
        <v>125</v>
      </c>
      <c r="D61" s="62"/>
      <c r="E61" s="3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2"/>
      <c r="DH61" s="62"/>
      <c r="DI61" s="62"/>
    </row>
    <row r="62" spans="1:113" ht="15.5" x14ac:dyDescent="0.35">
      <c r="A62" s="87"/>
      <c r="B62" s="87"/>
      <c r="C62" s="81"/>
      <c r="D62" s="3" t="s">
        <v>11</v>
      </c>
      <c r="E62" s="5"/>
      <c r="F62" s="5">
        <v>42917</v>
      </c>
      <c r="G62" s="5">
        <v>42948</v>
      </c>
      <c r="H62" s="5">
        <v>42979</v>
      </c>
      <c r="I62" s="5">
        <v>43009</v>
      </c>
      <c r="J62" s="5">
        <v>43040</v>
      </c>
      <c r="K62" s="5">
        <v>43070</v>
      </c>
      <c r="L62" s="5">
        <v>43101</v>
      </c>
      <c r="M62" s="5">
        <v>43132</v>
      </c>
      <c r="N62" s="5">
        <v>43160</v>
      </c>
      <c r="O62" s="5">
        <v>43191</v>
      </c>
      <c r="P62" s="5">
        <v>43221</v>
      </c>
      <c r="Q62" s="5">
        <v>43252</v>
      </c>
      <c r="R62" s="5">
        <v>43282</v>
      </c>
      <c r="S62" s="5">
        <v>43313</v>
      </c>
      <c r="T62" s="5">
        <v>43344</v>
      </c>
      <c r="U62" s="5">
        <v>43374</v>
      </c>
      <c r="V62" s="5">
        <v>43405</v>
      </c>
      <c r="W62" s="5">
        <v>43435</v>
      </c>
      <c r="X62" s="5">
        <v>43466</v>
      </c>
      <c r="Y62" s="5">
        <v>43497</v>
      </c>
      <c r="Z62" s="5">
        <v>43525</v>
      </c>
      <c r="AA62" s="5">
        <v>43556</v>
      </c>
      <c r="AB62" s="5">
        <v>43586</v>
      </c>
      <c r="AC62" s="5">
        <v>43617</v>
      </c>
      <c r="AD62" s="5">
        <v>43647</v>
      </c>
      <c r="AE62" s="5">
        <v>43678</v>
      </c>
      <c r="AF62" s="5">
        <v>43709</v>
      </c>
      <c r="AG62" s="5">
        <v>43739</v>
      </c>
      <c r="AH62" s="5">
        <v>43770</v>
      </c>
      <c r="AI62" s="5">
        <v>43800</v>
      </c>
      <c r="AJ62" s="5">
        <v>43831</v>
      </c>
      <c r="AK62" s="5">
        <v>43862</v>
      </c>
      <c r="AL62" s="5">
        <v>43891</v>
      </c>
      <c r="AM62" s="5">
        <v>43922</v>
      </c>
      <c r="AN62" s="5">
        <v>43952</v>
      </c>
      <c r="AO62" s="5">
        <v>43983</v>
      </c>
      <c r="AP62" s="5">
        <v>44013</v>
      </c>
      <c r="AQ62" s="5">
        <v>44044</v>
      </c>
      <c r="AR62" s="5">
        <v>44075</v>
      </c>
      <c r="AS62" s="5">
        <v>44105</v>
      </c>
      <c r="AT62" s="5">
        <v>44136</v>
      </c>
      <c r="AU62" s="5">
        <v>44166</v>
      </c>
      <c r="AV62" s="5">
        <v>44197</v>
      </c>
      <c r="AW62" s="5">
        <v>44228</v>
      </c>
      <c r="AX62" s="5">
        <v>44256</v>
      </c>
      <c r="AY62" s="5">
        <v>44287</v>
      </c>
      <c r="AZ62" s="5">
        <v>44317</v>
      </c>
      <c r="BA62" s="5">
        <v>44348</v>
      </c>
      <c r="BB62" s="5">
        <v>44378</v>
      </c>
      <c r="BC62" s="5">
        <v>44409</v>
      </c>
      <c r="BD62" s="5">
        <v>44440</v>
      </c>
      <c r="BE62" s="5">
        <v>44470</v>
      </c>
      <c r="BF62" s="5">
        <v>44501</v>
      </c>
      <c r="BG62" s="5">
        <v>44531</v>
      </c>
      <c r="BH62" s="5">
        <v>44562</v>
      </c>
      <c r="BI62" s="5">
        <v>44593</v>
      </c>
      <c r="BJ62" s="5">
        <v>44621</v>
      </c>
      <c r="BK62" s="5">
        <v>44652</v>
      </c>
      <c r="BL62" s="5">
        <v>44682</v>
      </c>
      <c r="BM62" s="5">
        <v>44713</v>
      </c>
      <c r="BN62" s="5">
        <v>44743</v>
      </c>
      <c r="BO62" s="5">
        <v>44774</v>
      </c>
      <c r="BP62" s="5">
        <v>44805</v>
      </c>
      <c r="BQ62" s="5">
        <v>44835</v>
      </c>
      <c r="BR62" s="5">
        <v>44866</v>
      </c>
      <c r="BS62" s="5">
        <v>44896</v>
      </c>
      <c r="BT62" s="5">
        <v>44927</v>
      </c>
      <c r="BU62" s="5">
        <v>44958</v>
      </c>
      <c r="BV62" s="5">
        <v>44986</v>
      </c>
      <c r="BW62" s="5">
        <v>45017</v>
      </c>
      <c r="BX62" s="5">
        <v>45047</v>
      </c>
      <c r="BY62" s="5">
        <v>45078</v>
      </c>
      <c r="BZ62" s="5">
        <v>45108</v>
      </c>
      <c r="CA62" s="5">
        <v>45139</v>
      </c>
      <c r="CB62" s="5">
        <v>45170</v>
      </c>
      <c r="CC62" s="5">
        <v>45200</v>
      </c>
      <c r="CD62" s="5">
        <v>45231</v>
      </c>
      <c r="CE62" s="5">
        <v>45261</v>
      </c>
      <c r="CF62" s="5">
        <v>45292</v>
      </c>
      <c r="CG62" s="5">
        <v>45323</v>
      </c>
      <c r="CH62" s="5">
        <v>45352</v>
      </c>
      <c r="CI62" s="5">
        <v>45383</v>
      </c>
      <c r="CJ62" s="5">
        <v>45413</v>
      </c>
      <c r="CK62" s="5">
        <v>45444</v>
      </c>
      <c r="CL62" s="5">
        <v>45474</v>
      </c>
      <c r="CM62" s="5">
        <v>45505</v>
      </c>
      <c r="CN62" s="5">
        <v>45536</v>
      </c>
      <c r="CO62" s="5">
        <v>45566</v>
      </c>
      <c r="CP62" s="5">
        <v>45597</v>
      </c>
      <c r="CQ62" s="5">
        <v>45627</v>
      </c>
      <c r="CR62" s="5">
        <v>45658</v>
      </c>
      <c r="CS62" s="5">
        <v>45689</v>
      </c>
      <c r="CT62" s="5">
        <v>45717</v>
      </c>
      <c r="CU62" s="5">
        <v>45748</v>
      </c>
      <c r="CV62" s="5">
        <v>45778</v>
      </c>
      <c r="CW62" s="5">
        <v>45809</v>
      </c>
      <c r="CX62" s="5">
        <v>45839</v>
      </c>
      <c r="CY62" s="5">
        <v>45870</v>
      </c>
      <c r="CZ62" s="5">
        <v>45901</v>
      </c>
      <c r="DA62" s="5">
        <v>45931</v>
      </c>
      <c r="DB62" s="5">
        <v>45962</v>
      </c>
      <c r="DC62" s="5">
        <v>45992</v>
      </c>
      <c r="DD62" s="5">
        <v>46023</v>
      </c>
      <c r="DE62" s="5">
        <v>46054</v>
      </c>
      <c r="DF62" s="5">
        <v>46082</v>
      </c>
      <c r="DG62" s="6"/>
      <c r="DH62" s="6"/>
      <c r="DI62" s="6"/>
    </row>
    <row r="63" spans="1:113" ht="15.5" x14ac:dyDescent="0.35">
      <c r="A63" s="82"/>
      <c r="B63" s="82"/>
      <c r="C63" s="82" t="s">
        <v>8</v>
      </c>
      <c r="D63" s="21"/>
      <c r="E63" s="23">
        <v>113.556008915267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6"/>
      <c r="DH63" s="26"/>
      <c r="DI63" s="26"/>
    </row>
    <row r="64" spans="1:113" ht="15.5" x14ac:dyDescent="0.35">
      <c r="A64" s="83">
        <v>35</v>
      </c>
      <c r="B64" s="83"/>
      <c r="C64" s="83"/>
      <c r="D64" s="45" t="s">
        <v>126</v>
      </c>
      <c r="E64" s="48">
        <f t="shared" ref="E64" si="0">E65</f>
        <v>52.067266036445503</v>
      </c>
      <c r="F64" s="70">
        <v>0.44233956593626722</v>
      </c>
      <c r="G64" s="70">
        <v>0.12670037393418543</v>
      </c>
      <c r="H64" s="70">
        <v>-1.6298941789849586E-2</v>
      </c>
      <c r="I64" s="70">
        <v>0.77155703891049754</v>
      </c>
      <c r="J64" s="70">
        <v>1.3779975624705898E-2</v>
      </c>
      <c r="K64" s="70">
        <v>0.11621143889264385</v>
      </c>
      <c r="L64" s="70">
        <v>1.2195724567266586</v>
      </c>
      <c r="M64" s="70">
        <v>0.11151179067676598</v>
      </c>
      <c r="N64" s="70">
        <v>0.22407879001626885</v>
      </c>
      <c r="O64" s="70">
        <v>0.54520798610222521</v>
      </c>
      <c r="P64" s="70">
        <v>0.65824125448163961</v>
      </c>
      <c r="Q64" s="70">
        <v>2.0007355950103278</v>
      </c>
      <c r="R64" s="70">
        <v>-0.42311050944945361</v>
      </c>
      <c r="S64" s="70">
        <v>-0.37930141609134882</v>
      </c>
      <c r="T64" s="70">
        <v>0.84212716458955672</v>
      </c>
      <c r="U64" s="70">
        <v>-0.22272504581688501</v>
      </c>
      <c r="V64" s="70">
        <v>-0.24217669311413781</v>
      </c>
      <c r="W64" s="70">
        <v>-0.47093649007446947</v>
      </c>
      <c r="X64" s="70">
        <v>4.7977541590851658</v>
      </c>
      <c r="Y64" s="70">
        <v>-0.9586774761426553</v>
      </c>
      <c r="Z64" s="70">
        <v>0.25255690933156938</v>
      </c>
      <c r="AA64" s="70">
        <v>1.0862896622393592</v>
      </c>
      <c r="AB64" s="70">
        <v>0.43960418322082084</v>
      </c>
      <c r="AC64" s="70">
        <v>-2.4616947414068946E-2</v>
      </c>
      <c r="AD64" s="70">
        <v>-0.97676071019272559</v>
      </c>
      <c r="AE64" s="70">
        <v>0.33809516817804308</v>
      </c>
      <c r="AF64" s="70">
        <v>-0.46848331395692444</v>
      </c>
      <c r="AG64" s="70">
        <v>0.9171852383547785</v>
      </c>
      <c r="AH64" s="70">
        <v>-1.0557495204020495</v>
      </c>
      <c r="AI64" s="70">
        <v>-0.4837356689338268</v>
      </c>
      <c r="AJ64" s="70">
        <v>1.0420087882024642</v>
      </c>
      <c r="AK64" s="70">
        <v>0.40637171687982754</v>
      </c>
      <c r="AL64" s="70">
        <v>1.20390186189967</v>
      </c>
      <c r="AM64" s="70">
        <v>1.3130072825080497</v>
      </c>
      <c r="AN64" s="70">
        <v>-0.78064819298143684</v>
      </c>
      <c r="AO64" s="70">
        <v>-1.4806778158114264</v>
      </c>
      <c r="AP64" s="70">
        <v>-0.30202726488541831</v>
      </c>
      <c r="AQ64" s="70">
        <v>-0.14816413495779557</v>
      </c>
      <c r="AR64" s="70">
        <v>0.37094390005880662</v>
      </c>
      <c r="AS64" s="70">
        <v>0.2161686346624947</v>
      </c>
      <c r="AT64" s="70">
        <v>0.10696952185902386</v>
      </c>
      <c r="AU64" s="70">
        <v>-0.43483200671510236</v>
      </c>
      <c r="AV64" s="70">
        <v>0.23299599157295958</v>
      </c>
      <c r="AW64" s="70">
        <v>0.73394263651802572</v>
      </c>
      <c r="AX64" s="70">
        <v>-0.96228252771318745</v>
      </c>
      <c r="AY64" s="70">
        <v>5.0290029473543107E-2</v>
      </c>
      <c r="AZ64" s="70">
        <v>-1.4475965352429343</v>
      </c>
      <c r="BA64" s="70">
        <v>1.988150357424745</v>
      </c>
      <c r="BB64" s="70">
        <v>-6.5634129562541776E-2</v>
      </c>
      <c r="BC64" s="70">
        <v>-0.3131044188663834</v>
      </c>
      <c r="BD64" s="70">
        <v>0.47042690925640507</v>
      </c>
      <c r="BE64" s="70">
        <v>0.58456498602166285</v>
      </c>
      <c r="BF64" s="70">
        <v>-0.19095465571508097</v>
      </c>
      <c r="BG64" s="70">
        <v>-0.75908057460533085</v>
      </c>
      <c r="BH64" s="70">
        <v>1.056680398948795</v>
      </c>
      <c r="BI64" s="70">
        <v>0.19743860137602098</v>
      </c>
      <c r="BJ64" s="70">
        <v>1.4941903970999038</v>
      </c>
      <c r="BK64" s="70">
        <v>-0.60857243291362328</v>
      </c>
      <c r="BL64" s="70">
        <v>1.3714268568734589</v>
      </c>
      <c r="BM64" s="70">
        <v>1.6659721650069015</v>
      </c>
      <c r="BN64" s="70">
        <v>1.4999447030208612</v>
      </c>
      <c r="BO64" s="70">
        <v>0.57326892900819715</v>
      </c>
      <c r="BP64" s="70">
        <v>-9.9165252268540449E-2</v>
      </c>
      <c r="BQ64" s="70">
        <v>1.8563122517939012</v>
      </c>
      <c r="BR64" s="70">
        <v>-0.86896101652199631</v>
      </c>
      <c r="BS64" s="70">
        <v>-0.98819056754630985</v>
      </c>
      <c r="BT64" s="70">
        <v>1.3001397132993864</v>
      </c>
      <c r="BU64" s="70">
        <v>-0.11405105344398647</v>
      </c>
      <c r="BV64" s="70">
        <v>0.84769820881216429</v>
      </c>
      <c r="BW64" s="70">
        <v>1.1510269805140805</v>
      </c>
      <c r="BX64" s="70">
        <v>-0.23181584374257769</v>
      </c>
      <c r="BY64" s="70">
        <v>-0.31169079635714469</v>
      </c>
      <c r="BZ64" s="70">
        <v>-0.67167787467161677</v>
      </c>
      <c r="CA64" s="70">
        <v>0.40560049556435107</v>
      </c>
      <c r="CB64" s="70">
        <v>0.7047332453917754</v>
      </c>
      <c r="CC64" s="70">
        <v>0.25098045488987086</v>
      </c>
      <c r="CD64" s="70">
        <v>0.37429099640777785</v>
      </c>
      <c r="CE64" s="70">
        <v>2.2391563134588788</v>
      </c>
      <c r="CF64" s="70">
        <v>0.34335699595984259</v>
      </c>
      <c r="CG64" s="70">
        <v>0.95688584997308812</v>
      </c>
      <c r="CH64" s="70">
        <v>0.30514233621388165</v>
      </c>
      <c r="CI64" s="70">
        <v>-1.0050559699971262</v>
      </c>
      <c r="CJ64" s="70">
        <v>-0.4373425098102568</v>
      </c>
      <c r="CK64" s="70">
        <v>-0.46284886722739449</v>
      </c>
      <c r="CL64" s="70">
        <v>-0.58984164577704501</v>
      </c>
      <c r="CM64" s="70">
        <v>0.25577679763901795</v>
      </c>
      <c r="CN64" s="70">
        <v>-0.17679794043193864</v>
      </c>
      <c r="CO64" s="70">
        <v>-5.7729122176419239</v>
      </c>
      <c r="CP64" s="70">
        <v>0.15578907015110222</v>
      </c>
      <c r="CQ64" s="70">
        <v>-0.83599657282629192</v>
      </c>
      <c r="CR64" s="70">
        <v>0.67894980070453137</v>
      </c>
      <c r="CS64" s="70">
        <v>-0.30487349129258989</v>
      </c>
      <c r="CT64" s="70">
        <v>7.1267259926299786E-2</v>
      </c>
      <c r="CU64" s="70">
        <v>0.19611298609181205</v>
      </c>
      <c r="CV64" s="70">
        <v>-0.44186968233883572</v>
      </c>
      <c r="CW64" s="70">
        <v>-1.3017670221895927</v>
      </c>
      <c r="CX64" s="70">
        <v>-0.53448110899718682</v>
      </c>
      <c r="CY64" s="70">
        <v>-0.63116212076760325</v>
      </c>
      <c r="CZ64" s="70">
        <v>-1.574915375249486</v>
      </c>
      <c r="DA64" s="70">
        <v>-1.2527577267002266</v>
      </c>
      <c r="DB64" s="70">
        <v>3.2127271775835187</v>
      </c>
      <c r="DC64" s="70">
        <v>2.4859014996492235E-3</v>
      </c>
      <c r="DD64" s="70">
        <v>-0.36599509561866528</v>
      </c>
      <c r="DE64" s="70">
        <v>0.17083037006000446</v>
      </c>
      <c r="DF64" s="70">
        <v>4.54850480536233</v>
      </c>
      <c r="DG64" s="46"/>
      <c r="DH64" s="46"/>
      <c r="DI64" s="46"/>
    </row>
    <row r="65" spans="1:113" ht="15.5" x14ac:dyDescent="0.35">
      <c r="A65" s="88"/>
      <c r="B65" s="80">
        <v>351</v>
      </c>
      <c r="C65" s="80">
        <v>3510</v>
      </c>
      <c r="D65" s="13" t="s">
        <v>127</v>
      </c>
      <c r="E65" s="33">
        <f>[1]CLASSI_EAI!G1140</f>
        <v>52.067266036445503</v>
      </c>
      <c r="F65" s="13">
        <v>0.44233956593626722</v>
      </c>
      <c r="G65" s="13">
        <v>0.12670037393418543</v>
      </c>
      <c r="H65" s="13">
        <v>-1.6298941789849586E-2</v>
      </c>
      <c r="I65" s="13">
        <v>0.77155703891049754</v>
      </c>
      <c r="J65" s="13">
        <v>1.3779975624705898E-2</v>
      </c>
      <c r="K65" s="13">
        <v>0.11621143889264385</v>
      </c>
      <c r="L65" s="13">
        <v>1.2195724567266586</v>
      </c>
      <c r="M65" s="13">
        <v>0.11151179067676598</v>
      </c>
      <c r="N65" s="13">
        <v>0.22407879001626885</v>
      </c>
      <c r="O65" s="13">
        <v>0.54520798610222521</v>
      </c>
      <c r="P65" s="13">
        <v>0.65824125448163961</v>
      </c>
      <c r="Q65" s="13">
        <v>2.0007355950103278</v>
      </c>
      <c r="R65" s="13">
        <v>-0.42311050944945361</v>
      </c>
      <c r="S65" s="13">
        <v>-0.37930141609134882</v>
      </c>
      <c r="T65" s="13">
        <v>0.84212716458955672</v>
      </c>
      <c r="U65" s="13">
        <v>-0.22272504581688501</v>
      </c>
      <c r="V65" s="13">
        <v>-0.24217669311413781</v>
      </c>
      <c r="W65" s="13">
        <v>-0.47093649007446947</v>
      </c>
      <c r="X65" s="13">
        <v>4.7977541590851658</v>
      </c>
      <c r="Y65" s="13">
        <v>-0.9586774761426553</v>
      </c>
      <c r="Z65" s="13">
        <v>0.25255690933156938</v>
      </c>
      <c r="AA65" s="13">
        <v>1.0862896622393592</v>
      </c>
      <c r="AB65" s="13">
        <v>0.43960418322082084</v>
      </c>
      <c r="AC65" s="13">
        <v>-2.4616947414068946E-2</v>
      </c>
      <c r="AD65" s="13">
        <v>-0.97676071019272559</v>
      </c>
      <c r="AE65" s="13">
        <v>0.33809516817804308</v>
      </c>
      <c r="AF65" s="13">
        <v>-0.46848331395692444</v>
      </c>
      <c r="AG65" s="13">
        <v>0.9171852383547785</v>
      </c>
      <c r="AH65" s="13">
        <v>-1.0557495204020495</v>
      </c>
      <c r="AI65" s="13">
        <v>-0.4837356689338268</v>
      </c>
      <c r="AJ65" s="13">
        <v>1.0420087882024642</v>
      </c>
      <c r="AK65" s="13">
        <v>0.40637171687982754</v>
      </c>
      <c r="AL65" s="13">
        <v>1.20390186189967</v>
      </c>
      <c r="AM65" s="13">
        <v>1.3130072825080497</v>
      </c>
      <c r="AN65" s="13">
        <v>-0.78064819298143684</v>
      </c>
      <c r="AO65" s="13">
        <v>-1.4806778158114264</v>
      </c>
      <c r="AP65" s="13">
        <v>-0.30202726488541831</v>
      </c>
      <c r="AQ65" s="13">
        <v>-0.14816413495779557</v>
      </c>
      <c r="AR65" s="13">
        <v>0.37094390005880662</v>
      </c>
      <c r="AS65" s="13">
        <v>0.2161686346624947</v>
      </c>
      <c r="AT65" s="13">
        <v>0.10696952185902386</v>
      </c>
      <c r="AU65" s="13">
        <v>-0.43483200671510236</v>
      </c>
      <c r="AV65" s="13">
        <v>0.23299599157295958</v>
      </c>
      <c r="AW65" s="13">
        <v>0.73394263651802572</v>
      </c>
      <c r="AX65" s="13">
        <v>-0.96228252771318745</v>
      </c>
      <c r="AY65" s="13">
        <v>5.0290029473543107E-2</v>
      </c>
      <c r="AZ65" s="13">
        <v>-1.4475965352429343</v>
      </c>
      <c r="BA65" s="13">
        <v>1.988150357424745</v>
      </c>
      <c r="BB65" s="13">
        <v>-6.5634129562541776E-2</v>
      </c>
      <c r="BC65" s="13">
        <v>-0.3131044188663834</v>
      </c>
      <c r="BD65" s="13">
        <v>0.47042690925640507</v>
      </c>
      <c r="BE65" s="13">
        <v>0.58456498602166285</v>
      </c>
      <c r="BF65" s="13">
        <v>-0.19095465571508097</v>
      </c>
      <c r="BG65" s="13">
        <v>-0.75908057460533085</v>
      </c>
      <c r="BH65" s="13">
        <v>1.056680398948795</v>
      </c>
      <c r="BI65" s="13">
        <v>0.19743860137602098</v>
      </c>
      <c r="BJ65" s="13">
        <v>1.4941903970999038</v>
      </c>
      <c r="BK65" s="13">
        <v>-0.60857243291362328</v>
      </c>
      <c r="BL65" s="13">
        <v>1.3714268568734589</v>
      </c>
      <c r="BM65" s="13">
        <v>1.6659721650069015</v>
      </c>
      <c r="BN65" s="13">
        <v>1.4999447030208612</v>
      </c>
      <c r="BO65" s="13">
        <v>0.57326892900819715</v>
      </c>
      <c r="BP65" s="13">
        <v>-9.9165252268540449E-2</v>
      </c>
      <c r="BQ65" s="13">
        <v>1.8563122517939012</v>
      </c>
      <c r="BR65" s="13">
        <v>-0.86896101652199631</v>
      </c>
      <c r="BS65" s="13">
        <v>-0.98819056754630985</v>
      </c>
      <c r="BT65" s="13">
        <v>1.3001397132993864</v>
      </c>
      <c r="BU65" s="13">
        <v>-0.11405105344398647</v>
      </c>
      <c r="BV65" s="13">
        <v>0.84769820881216429</v>
      </c>
      <c r="BW65" s="13">
        <v>1.1510269805140805</v>
      </c>
      <c r="BX65" s="13">
        <v>-0.23181584374257769</v>
      </c>
      <c r="BY65" s="13">
        <v>-0.31169079635714469</v>
      </c>
      <c r="BZ65" s="13">
        <v>-0.67167787467161677</v>
      </c>
      <c r="CA65" s="13">
        <v>0.40560049556435107</v>
      </c>
      <c r="CB65" s="13">
        <v>0.7047332453917754</v>
      </c>
      <c r="CC65" s="13">
        <v>0.25098045488987086</v>
      </c>
      <c r="CD65" s="13">
        <v>0.37429099640777785</v>
      </c>
      <c r="CE65" s="13">
        <v>2.2391563134588788</v>
      </c>
      <c r="CF65" s="13">
        <v>0.34335699595984259</v>
      </c>
      <c r="CG65" s="13">
        <v>0.95688584997308812</v>
      </c>
      <c r="CH65" s="13">
        <v>0.30514233621388165</v>
      </c>
      <c r="CI65" s="13">
        <v>-1.0050559699971262</v>
      </c>
      <c r="CJ65" s="13">
        <v>-0.4373425098102568</v>
      </c>
      <c r="CK65" s="13">
        <v>-0.46284886722739449</v>
      </c>
      <c r="CL65" s="13">
        <v>-0.58984164577704501</v>
      </c>
      <c r="CM65" s="13">
        <v>0.25577679763901795</v>
      </c>
      <c r="CN65" s="13">
        <v>-0.17679794043193864</v>
      </c>
      <c r="CO65" s="13">
        <v>-5.7729122176419239</v>
      </c>
      <c r="CP65" s="13">
        <v>0.15578907015110222</v>
      </c>
      <c r="CQ65" s="13">
        <v>-0.83599657282629192</v>
      </c>
      <c r="CR65" s="13">
        <v>0.67894980070453137</v>
      </c>
      <c r="CS65" s="13">
        <v>-0.30487349129258989</v>
      </c>
      <c r="CT65" s="13">
        <v>7.1267259926299786E-2</v>
      </c>
      <c r="CU65" s="13">
        <v>0.19611298609181205</v>
      </c>
      <c r="CV65" s="13">
        <v>-0.44186968233883572</v>
      </c>
      <c r="CW65" s="13">
        <v>-1.3017670221895927</v>
      </c>
      <c r="CX65" s="13">
        <v>-0.53448110899718682</v>
      </c>
      <c r="CY65" s="13">
        <v>-0.63116212076760325</v>
      </c>
      <c r="CZ65" s="13">
        <v>-1.574915375249486</v>
      </c>
      <c r="DA65" s="13">
        <v>-1.2527577267002266</v>
      </c>
      <c r="DB65" s="13">
        <v>3.2127271775835187</v>
      </c>
      <c r="DC65" s="13">
        <v>2.4859014996492235E-3</v>
      </c>
      <c r="DD65" s="13">
        <v>-0.36599509561866528</v>
      </c>
      <c r="DE65" s="13">
        <v>0.17083037006000446</v>
      </c>
      <c r="DF65" s="13">
        <v>4.54850480536233</v>
      </c>
    </row>
    <row r="66" spans="1:113" ht="15.5" x14ac:dyDescent="0.35">
      <c r="A66" s="83">
        <v>36</v>
      </c>
      <c r="B66" s="83"/>
      <c r="C66" s="83"/>
      <c r="D66" s="45" t="s">
        <v>30</v>
      </c>
      <c r="E66" s="48">
        <f>E67</f>
        <v>54.540485677508798</v>
      </c>
      <c r="F66" s="71">
        <v>0</v>
      </c>
      <c r="G66" s="71">
        <v>-7.8239660389193055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3.0967307740151107</v>
      </c>
      <c r="S66" s="71">
        <v>0.5688210460456089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</v>
      </c>
      <c r="BJ66" s="71">
        <v>0</v>
      </c>
      <c r="BK66" s="71">
        <v>0</v>
      </c>
      <c r="BL66" s="71">
        <v>0</v>
      </c>
      <c r="BM66" s="71">
        <v>0</v>
      </c>
      <c r="BN66" s="71">
        <v>4.7662631154510304</v>
      </c>
      <c r="BO66" s="71">
        <v>0</v>
      </c>
      <c r="BP66" s="71">
        <v>0</v>
      </c>
      <c r="BQ66" s="71">
        <v>0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0</v>
      </c>
      <c r="BX66" s="71">
        <v>0</v>
      </c>
      <c r="BY66" s="71">
        <v>0</v>
      </c>
      <c r="BZ66" s="71">
        <v>7.9255217408040535</v>
      </c>
      <c r="CA66" s="71">
        <v>0.80327582162238453</v>
      </c>
      <c r="CB66" s="71">
        <v>0.79153477799396299</v>
      </c>
      <c r="CC66" s="71">
        <v>0.801964559026902</v>
      </c>
      <c r="CD66" s="71">
        <v>0</v>
      </c>
      <c r="CE66" s="71">
        <v>0</v>
      </c>
      <c r="CF66" s="71">
        <v>0</v>
      </c>
      <c r="CG66" s="71">
        <v>0</v>
      </c>
      <c r="CH66" s="71">
        <v>0</v>
      </c>
      <c r="CI66" s="71">
        <v>0</v>
      </c>
      <c r="CJ66" s="71">
        <v>0</v>
      </c>
      <c r="CK66" s="71">
        <v>0</v>
      </c>
      <c r="CL66" s="71">
        <v>0</v>
      </c>
      <c r="CM66" s="71">
        <v>1.5635630730874039</v>
      </c>
      <c r="CN66" s="71">
        <v>0</v>
      </c>
      <c r="CO66" s="71">
        <v>0</v>
      </c>
      <c r="CP66" s="71">
        <v>0</v>
      </c>
      <c r="CQ66" s="71">
        <v>0</v>
      </c>
      <c r="CR66" s="71">
        <v>0</v>
      </c>
      <c r="CS66" s="71">
        <v>0</v>
      </c>
      <c r="CT66" s="71">
        <v>0</v>
      </c>
      <c r="CU66" s="71">
        <v>0</v>
      </c>
      <c r="CV66" s="71">
        <v>0</v>
      </c>
      <c r="CW66" s="71">
        <v>0</v>
      </c>
      <c r="CX66" s="71">
        <v>0</v>
      </c>
      <c r="CY66" s="71">
        <v>0</v>
      </c>
      <c r="CZ66" s="71">
        <v>0</v>
      </c>
      <c r="DA66" s="71">
        <v>0</v>
      </c>
      <c r="DB66" s="71">
        <v>0</v>
      </c>
      <c r="DC66" s="71">
        <v>0.44492380780669638</v>
      </c>
      <c r="DD66" s="71">
        <v>0</v>
      </c>
      <c r="DE66" s="71">
        <v>0</v>
      </c>
      <c r="DF66" s="71">
        <v>0</v>
      </c>
      <c r="DG66" s="46"/>
      <c r="DH66" s="46"/>
      <c r="DI66" s="46"/>
    </row>
    <row r="67" spans="1:113" ht="15.5" x14ac:dyDescent="0.35">
      <c r="A67" s="88"/>
      <c r="B67" s="80">
        <v>360</v>
      </c>
      <c r="C67" s="80">
        <v>3600</v>
      </c>
      <c r="D67" s="13" t="s">
        <v>128</v>
      </c>
      <c r="E67" s="33">
        <f>[1]CLASSI_EAI!G1159</f>
        <v>54.540485677508798</v>
      </c>
      <c r="F67" s="13">
        <v>0</v>
      </c>
      <c r="G67" s="13">
        <v>-7.8239660389193055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3.0967307740151107</v>
      </c>
      <c r="S67" s="13">
        <v>0.5688210460456089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4.7662631154510304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7.9255217408040535</v>
      </c>
      <c r="CA67" s="13">
        <v>0.80327582162238453</v>
      </c>
      <c r="CB67" s="13">
        <v>0.79153477799396299</v>
      </c>
      <c r="CC67" s="13">
        <v>0.801964559026902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1.5635630730874039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0.44492380780669638</v>
      </c>
      <c r="DD67" s="13">
        <v>0</v>
      </c>
      <c r="DE67" s="13">
        <v>0</v>
      </c>
      <c r="DF67" s="13">
        <v>0</v>
      </c>
    </row>
    <row r="68" spans="1:113" ht="15.5" x14ac:dyDescent="0.35">
      <c r="A68" s="83">
        <v>37</v>
      </c>
      <c r="B68" s="83"/>
      <c r="C68" s="83"/>
      <c r="D68" s="45" t="s">
        <v>31</v>
      </c>
      <c r="E68" s="48">
        <f>E69</f>
        <v>0.28435209827665497</v>
      </c>
      <c r="F68" s="71">
        <v>4.0035921771242933</v>
      </c>
      <c r="G68" s="71">
        <v>-7.8239660389193162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3.0967307740150884</v>
      </c>
      <c r="S68" s="71">
        <v>0.5688210460456089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</v>
      </c>
      <c r="BJ68" s="71">
        <v>0</v>
      </c>
      <c r="BK68" s="71">
        <v>0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0</v>
      </c>
      <c r="BX68" s="71">
        <v>0</v>
      </c>
      <c r="BY68" s="71">
        <v>0</v>
      </c>
      <c r="BZ68" s="71">
        <v>0</v>
      </c>
      <c r="CA68" s="71">
        <v>0</v>
      </c>
      <c r="CB68" s="71">
        <v>0</v>
      </c>
      <c r="CC68" s="71">
        <v>0</v>
      </c>
      <c r="CD68" s="71">
        <v>0</v>
      </c>
      <c r="CE68" s="71">
        <v>0</v>
      </c>
      <c r="CF68" s="71">
        <v>0</v>
      </c>
      <c r="CG68" s="71">
        <v>0</v>
      </c>
      <c r="CH68" s="71">
        <v>0</v>
      </c>
      <c r="CI68" s="71">
        <v>0</v>
      </c>
      <c r="CJ68" s="71">
        <v>0</v>
      </c>
      <c r="CK68" s="71">
        <v>0</v>
      </c>
      <c r="CL68" s="71">
        <v>0</v>
      </c>
      <c r="CM68" s="71">
        <v>0</v>
      </c>
      <c r="CN68" s="71">
        <v>0</v>
      </c>
      <c r="CO68" s="71">
        <v>0</v>
      </c>
      <c r="CP68" s="71">
        <v>0</v>
      </c>
      <c r="CQ68" s="71">
        <v>0</v>
      </c>
      <c r="CR68" s="71">
        <v>0</v>
      </c>
      <c r="CS68" s="71">
        <v>0</v>
      </c>
      <c r="CT68" s="71">
        <v>0</v>
      </c>
      <c r="CU68" s="71">
        <v>0</v>
      </c>
      <c r="CV68" s="71">
        <v>0</v>
      </c>
      <c r="CW68" s="71">
        <v>0</v>
      </c>
      <c r="CX68" s="71">
        <v>0</v>
      </c>
      <c r="CY68" s="71">
        <v>0</v>
      </c>
      <c r="CZ68" s="71">
        <v>0</v>
      </c>
      <c r="DA68" s="71">
        <v>0</v>
      </c>
      <c r="DB68" s="71">
        <v>0</v>
      </c>
      <c r="DC68" s="71">
        <v>0</v>
      </c>
      <c r="DD68" s="71">
        <v>0</v>
      </c>
      <c r="DE68" s="71">
        <v>0</v>
      </c>
      <c r="DF68" s="71">
        <v>0</v>
      </c>
      <c r="DG68" s="46"/>
      <c r="DH68" s="46"/>
      <c r="DI68" s="46"/>
    </row>
    <row r="69" spans="1:113" ht="15.5" x14ac:dyDescent="0.35">
      <c r="A69" s="88"/>
      <c r="B69" s="80">
        <v>370</v>
      </c>
      <c r="C69" s="80">
        <v>3700</v>
      </c>
      <c r="D69" s="13" t="s">
        <v>31</v>
      </c>
      <c r="E69" s="33">
        <f>[1]CLASSI_EAI!G1168</f>
        <v>0.28435209827665497</v>
      </c>
      <c r="F69" s="13">
        <v>4.0035921771242933</v>
      </c>
      <c r="G69" s="13">
        <v>-7.8239660389193162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3.0967307740150884</v>
      </c>
      <c r="S69" s="13">
        <v>0.5688210460456089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</row>
    <row r="70" spans="1:113" ht="15.5" x14ac:dyDescent="0.35">
      <c r="A70" s="83">
        <v>38</v>
      </c>
      <c r="B70" s="83"/>
      <c r="C70" s="83"/>
      <c r="D70" s="45" t="s">
        <v>32</v>
      </c>
      <c r="E70" s="64">
        <f>E71+E72</f>
        <v>6.6639051030359813</v>
      </c>
      <c r="F70" s="71">
        <v>2.8917212225372468</v>
      </c>
      <c r="G70" s="71">
        <v>-5.7189576668603799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2.2163343658390566</v>
      </c>
      <c r="S70" s="71">
        <v>0.41018206874383623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0.44333721662350722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  <c r="CQ70" s="71">
        <v>0</v>
      </c>
      <c r="CR70" s="71">
        <v>0</v>
      </c>
      <c r="CS70" s="71">
        <v>0</v>
      </c>
      <c r="CT70" s="71">
        <v>0</v>
      </c>
      <c r="CU70" s="71">
        <v>0</v>
      </c>
      <c r="CV70" s="71">
        <v>1.1933814364424755</v>
      </c>
      <c r="CW70" s="71">
        <v>0</v>
      </c>
      <c r="CX70" s="71">
        <v>4.6095839522289239</v>
      </c>
      <c r="CY70" s="71">
        <v>0</v>
      </c>
      <c r="CZ70" s="71">
        <v>0</v>
      </c>
      <c r="DA70" s="71">
        <v>0</v>
      </c>
      <c r="DB70" s="71">
        <v>0</v>
      </c>
      <c r="DC70" s="71">
        <v>0</v>
      </c>
      <c r="DD70" s="71">
        <v>0</v>
      </c>
      <c r="DE70" s="71">
        <v>0</v>
      </c>
      <c r="DF70" s="71">
        <v>0</v>
      </c>
      <c r="DG70" s="46"/>
      <c r="DH70" s="46"/>
      <c r="DI70" s="46"/>
    </row>
    <row r="71" spans="1:113" ht="15.5" x14ac:dyDescent="0.35">
      <c r="A71" s="88"/>
      <c r="B71" s="80">
        <v>381</v>
      </c>
      <c r="D71" s="13" t="s">
        <v>129</v>
      </c>
      <c r="E71" s="66">
        <f>E75+E74</f>
        <v>2.1710951189784709</v>
      </c>
      <c r="F71" s="13">
        <v>0.59084325450859954</v>
      </c>
      <c r="G71" s="13">
        <v>-1.2151180321092414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0.4586742997293447</v>
      </c>
      <c r="S71" s="13">
        <v>8.5151673259820093E-2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1.3560664751164797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3.6174076522963894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</row>
    <row r="72" spans="1:113" ht="15.5" x14ac:dyDescent="0.35">
      <c r="A72" s="88"/>
      <c r="B72" s="80">
        <v>383</v>
      </c>
      <c r="D72" s="13" t="s">
        <v>130</v>
      </c>
      <c r="E72" s="66">
        <f>E73</f>
        <v>4.4928099840575104</v>
      </c>
      <c r="F72" s="13">
        <v>4.0035921771242711</v>
      </c>
      <c r="G72" s="13">
        <v>-7.8239660389193277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3.0967307740151107</v>
      </c>
      <c r="S72" s="13">
        <v>0.5688210460456089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6.9610375725068785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</row>
    <row r="73" spans="1:113" ht="15.5" x14ac:dyDescent="0.35">
      <c r="A73" s="88"/>
      <c r="C73" s="80">
        <v>3830</v>
      </c>
      <c r="D73" s="13" t="s">
        <v>130</v>
      </c>
      <c r="E73" s="33">
        <f>[1]CLASSI_EAI!G1193</f>
        <v>4.4928099840575104</v>
      </c>
      <c r="F73" s="13">
        <v>4.0035921771242711</v>
      </c>
      <c r="G73" s="13">
        <v>-7.8239660389193277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3.0967307740151107</v>
      </c>
      <c r="S73" s="13">
        <v>0.5688210460456089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6.9610375725068785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</row>
    <row r="74" spans="1:113" ht="15.5" x14ac:dyDescent="0.35">
      <c r="A74" s="88"/>
      <c r="C74" s="80" t="s">
        <v>131</v>
      </c>
      <c r="D74" s="13" t="s">
        <v>132</v>
      </c>
      <c r="E74" s="33">
        <f>VLOOKUP(C74,[1]CLASSI_EAI!A:G,7,FALSE)</f>
        <v>1.8973070416886</v>
      </c>
      <c r="F74" s="13">
        <v>0.56236469137775913</v>
      </c>
      <c r="G74" s="13">
        <v>-1.1571108714523159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0.43662896231584369</v>
      </c>
      <c r="S74" s="13">
        <v>8.1062747808102742E-2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4.195362743720854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</row>
    <row r="75" spans="1:113" ht="15.5" x14ac:dyDescent="0.35">
      <c r="A75" s="88"/>
      <c r="C75" s="80" t="s">
        <v>133</v>
      </c>
      <c r="D75" s="13" t="s">
        <v>134</v>
      </c>
      <c r="E75" s="33">
        <f>VLOOKUP(C75,[1]CLASSI_EAI!A:G,7,FALSE)</f>
        <v>0.27378807728987098</v>
      </c>
      <c r="F75" s="13">
        <v>0.78819508553120698</v>
      </c>
      <c r="G75" s="13">
        <v>-1.6161975681731722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0.61181388748658971</v>
      </c>
      <c r="S75" s="13">
        <v>0.1135062432227496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10.756634324829006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</row>
    <row r="76" spans="1:113" ht="15.5" x14ac:dyDescent="0.35">
      <c r="A76" s="85"/>
      <c r="B76" s="85"/>
      <c r="C76" s="85"/>
      <c r="D76" s="77"/>
      <c r="E76" s="69"/>
      <c r="F76" s="77"/>
      <c r="G76" s="78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</row>
    <row r="77" spans="1:113" ht="15.5" x14ac:dyDescent="0.35">
      <c r="E77" s="69">
        <f>E70+E68+E66+E64+E57+E54+E52+E50+E46+E44+E42+E38+E36+E32+E30+E28+E26+E23+E21+E16+E3</f>
        <v>1000.0000000000002</v>
      </c>
    </row>
    <row r="78" spans="1:113" ht="15.5" x14ac:dyDescent="0.35">
      <c r="E78" s="69"/>
    </row>
    <row r="79" spans="1:113" ht="15.5" x14ac:dyDescent="0.35">
      <c r="E79" s="69"/>
    </row>
    <row r="80" spans="1:113" ht="15.5" x14ac:dyDescent="0.35">
      <c r="E80" s="69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:D61 F61:DI61">
    <cfRule type="colorScale" priority="25">
      <colorScale>
        <cfvo type="min"/>
        <cfvo type="max"/>
        <color theme="9" tint="0.39994506668294322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 PER DIVISION</vt:lpstr>
      <vt:lpstr>ANNUAL INFLATION PER DIVISION</vt:lpstr>
      <vt:lpstr>MONTHLY INFLATION PER DIVISION</vt:lpstr>
      <vt:lpstr>INDICES PER CLASS</vt:lpstr>
      <vt:lpstr>ANNUAL INFLATION PER CLASS</vt:lpstr>
      <vt:lpstr>MONTHLY INFLATION PER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2026-04-29T11:44:31Z</dcterms:modified>
</cp:coreProperties>
</file>