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MES_PPI\PPI_M&amp;U\APRIL 2026\"/>
    </mc:Choice>
  </mc:AlternateContent>
  <xr:revisionPtr revIDLastSave="0" documentId="13_ncr:1_{6DFA8492-3790-4D87-ABA8-B767EFCA7460}" xr6:coauthVersionLast="47" xr6:coauthVersionMax="47" xr10:uidLastSave="{00000000-0000-0000-0000-000000000000}"/>
  <bookViews>
    <workbookView xWindow="-110" yWindow="-110" windowWidth="19420" windowHeight="11500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23" i="6" l="1"/>
  <c r="E71" i="6"/>
  <c r="E54" i="5"/>
  <c r="E46" i="5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<sst xmlns="http://schemas.openxmlformats.org/spreadsheetml/2006/main" count="417" uniqueCount="137">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</sst>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5" fillId="0" borderId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164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164" fontId="3" fillId="4" borderId="0" xfId="1" applyFont="1" applyFill="1" applyAlignment="1">
      <alignment wrapText="1"/>
    </xf>
    <xf numFmtId="164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164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164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164" fontId="8" fillId="0" borderId="0" xfId="1" applyFont="1" applyFill="1" applyBorder="1" applyAlignment="1"/>
    <xf numFmtId="0" fontId="8" fillId="0" borderId="0" xfId="0" quotePrefix="1" applyFont="1"/>
    <xf numFmtId="164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164" fontId="8" fillId="0" borderId="0" xfId="1" applyFont="1" applyFill="1" applyAlignment="1"/>
    <xf numFmtId="164" fontId="4" fillId="5" borderId="0" xfId="0" applyNumberFormat="1" applyFont="1" applyFill="1"/>
    <xf numFmtId="0" fontId="4" fillId="0" borderId="0" xfId="0" quotePrefix="1" applyFont="1"/>
    <xf numFmtId="164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164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164" fontId="4" fillId="0" borderId="0" xfId="1" applyFont="1" applyAlignment="1"/>
    <xf numFmtId="168" fontId="4" fillId="5" borderId="0" xfId="3" applyNumberFormat="1" applyFont="1" applyFill="1"/>
    <xf numFmtId="164" fontId="4" fillId="5" borderId="0" xfId="1" applyFont="1" applyFill="1" applyAlignment="1"/>
    <xf numFmtId="164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164" fontId="4" fillId="2" borderId="2" xfId="1" applyFont="1" applyFill="1" applyBorder="1" applyAlignment="1">
      <alignment horizontal="left" wrapText="1"/>
    </xf>
    <xf numFmtId="164" fontId="3" fillId="4" borderId="2" xfId="1" applyFont="1" applyFill="1" applyBorder="1" applyAlignment="1">
      <alignment wrapText="1"/>
    </xf>
    <xf numFmtId="164" fontId="3" fillId="5" borderId="2" xfId="1" applyFont="1" applyFill="1" applyBorder="1" applyAlignment="1">
      <alignment wrapText="1"/>
    </xf>
    <xf numFmtId="164" fontId="7" fillId="0" borderId="2" xfId="1" applyFont="1" applyFill="1" applyBorder="1" applyAlignment="1">
      <alignment vertical="center" wrapText="1"/>
    </xf>
    <xf numFmtId="164" fontId="4" fillId="5" borderId="2" xfId="0" applyNumberFormat="1" applyFont="1" applyFill="1" applyBorder="1"/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164" fontId="3" fillId="0" borderId="2" xfId="1" applyFont="1" applyFill="1" applyBorder="1" applyAlignment="1">
      <alignment vertical="center" wrapText="1"/>
    </xf>
    <xf numFmtId="164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</cellXfs>
  <cellStyles count="5">
    <cellStyle name="Comma" xfId="1" builtinId="3"/>
    <cellStyle name="Comma [0]" xfId="3" builtinId="6"/>
    <cellStyle name="Normal" xfId="0" builtinId="0"/>
    <cellStyle name="Normal_Sheet1_1" xfId="4" xr:uid="{CDB65ED8-316A-4A94-B6D5-95B9639B9320}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EB%202026/UPDATED%20Rebased%20PPI%20M&amp;U%20February%20%202026.xlsx" TargetMode="External"/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/DMES_PPI/PPI_M&amp;U/FEB%202026/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Q32"/>
  <sheetViews>
    <sheetView tabSelected="1" workbookViewId="0">
      <pane xSplit="3" ySplit="2" topLeftCell="DJ3" activePane="bottomRight" state="frozen"/>
      <selection pane="topRight" activeCell="D1" sqref="D1"/>
      <selection pane="bottomLeft" activeCell="A3" sqref="A3"/>
      <selection pane="bottomRight" activeCell="DQ10" sqref="DQ10:DQ32"/>
    </sheetView>
  </sheetViews>
  <sheetFormatPr defaultRowHeight="14.5" x14ac:dyDescent="0.35"/>
  <cols>
    <col min="2" max="2" width="72.54296875" bestFit="1" customWidth="1"/>
  </cols>
  <sheetData>
    <row r="1" spans="1:121" s="1" customFormat="1" ht="15.5" x14ac:dyDescent="0.35">
      <c r="A1" s="1" t="s">
        <v>0</v>
      </c>
    </row>
    <row r="2" spans="1:121" s="6" customFormat="1" ht="15.5" x14ac:dyDescent="0.3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  <c r="DQ2" s="5">
        <v>46113</v>
      </c>
    </row>
    <row r="3" spans="1:121" s="7" customFormat="1" x14ac:dyDescent="0.3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  <c r="DQ3" s="7">
        <v>126.28037234874508</v>
      </c>
    </row>
    <row r="4" spans="1:121" s="8" customFormat="1" x14ac:dyDescent="0.3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  <c r="DQ4" s="8">
        <v>127.48156274909961</v>
      </c>
    </row>
    <row r="5" spans="1:121" s="8" customFormat="1" x14ac:dyDescent="0.3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  <c r="DQ5" s="8">
        <v>116.90360732579101</v>
      </c>
    </row>
    <row r="8" spans="1:121" x14ac:dyDescent="0.35">
      <c r="A8" s="9" t="s">
        <v>9</v>
      </c>
    </row>
    <row r="9" spans="1:121" s="6" customFormat="1" ht="15.5" x14ac:dyDescent="0.3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  <c r="DQ9" s="5">
        <v>46113</v>
      </c>
    </row>
    <row r="10" spans="1:121" s="7" customFormat="1" x14ac:dyDescent="0.3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  <c r="DQ10" s="7">
        <v>127.48156274909961</v>
      </c>
    </row>
    <row r="11" spans="1:121" s="8" customFormat="1" x14ac:dyDescent="0.3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  <c r="DQ11" s="8">
        <v>138.04674301375618</v>
      </c>
    </row>
    <row r="12" spans="1:121" s="8" customFormat="1" x14ac:dyDescent="0.3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  <c r="DQ12" s="8">
        <v>113.19409959565864</v>
      </c>
    </row>
    <row r="13" spans="1:121" s="8" customFormat="1" x14ac:dyDescent="0.3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  <c r="DQ13" s="8">
        <v>91.813011018014222</v>
      </c>
    </row>
    <row r="14" spans="1:121" s="8" customFormat="1" x14ac:dyDescent="0.3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  <c r="DQ14" s="8">
        <v>123.47168268488105</v>
      </c>
    </row>
    <row r="15" spans="1:121" s="8" customFormat="1" x14ac:dyDescent="0.3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  <c r="DQ15" s="8">
        <v>122.71061731450217</v>
      </c>
    </row>
    <row r="16" spans="1:121" s="8" customFormat="1" x14ac:dyDescent="0.3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  <c r="DQ16" s="8">
        <v>116.46361225799623</v>
      </c>
    </row>
    <row r="17" spans="1:121" s="8" customFormat="1" x14ac:dyDescent="0.3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  <c r="DQ17" s="8">
        <v>103.26910217211778</v>
      </c>
    </row>
    <row r="18" spans="1:121" s="8" customFormat="1" x14ac:dyDescent="0.3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  <c r="DQ18" s="8">
        <v>122.41425545773994</v>
      </c>
    </row>
    <row r="19" spans="1:121" s="8" customFormat="1" x14ac:dyDescent="0.3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  <c r="DQ19" s="8">
        <v>110.82005671436382</v>
      </c>
    </row>
    <row r="20" spans="1:121" s="8" customFormat="1" x14ac:dyDescent="0.3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  <c r="DQ20" s="8">
        <v>138.78323725949565</v>
      </c>
    </row>
    <row r="21" spans="1:121" s="8" customFormat="1" x14ac:dyDescent="0.3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  <c r="DQ21" s="8">
        <v>114.19504992650512</v>
      </c>
    </row>
    <row r="22" spans="1:121" s="8" customFormat="1" x14ac:dyDescent="0.3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  <c r="DQ22" s="8">
        <v>109.4588225065495</v>
      </c>
    </row>
    <row r="23" spans="1:121" s="8" customFormat="1" x14ac:dyDescent="0.3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  <c r="DQ23" s="8">
        <v>108.54740013533451</v>
      </c>
    </row>
    <row r="24" spans="1:121" s="8" customFormat="1" x14ac:dyDescent="0.3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  <c r="DQ24" s="8">
        <v>124.6540872029388</v>
      </c>
    </row>
    <row r="25" spans="1:121" s="8" customFormat="1" x14ac:dyDescent="0.3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  <c r="DQ25" s="8">
        <v>124.35766757412064</v>
      </c>
    </row>
    <row r="26" spans="1:121" s="8" customFormat="1" x14ac:dyDescent="0.3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  <c r="DQ26" s="8">
        <v>117.22966327542005</v>
      </c>
    </row>
    <row r="27" spans="1:121" s="8" customFormat="1" x14ac:dyDescent="0.3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  <c r="DQ27" s="8">
        <v>133.67659903547948</v>
      </c>
    </row>
    <row r="28" spans="1:121" s="7" customFormat="1" x14ac:dyDescent="0.3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  <c r="DQ28" s="7">
        <v>116.90360732579101</v>
      </c>
    </row>
    <row r="29" spans="1:121" s="8" customFormat="1" x14ac:dyDescent="0.3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  <c r="DQ29" s="8">
        <v>122.86977274248109</v>
      </c>
    </row>
    <row r="30" spans="1:121" s="8" customFormat="1" x14ac:dyDescent="0.3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  <c r="DQ30" s="8">
        <v>112.6481280529777</v>
      </c>
    </row>
    <row r="31" spans="1:121" s="8" customFormat="1" x14ac:dyDescent="0.3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  <c r="DQ31" s="8">
        <v>99.397305245416177</v>
      </c>
    </row>
    <row r="32" spans="1:121" s="8" customFormat="1" x14ac:dyDescent="0.3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  <c r="DQ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E27"/>
  <sheetViews>
    <sheetView workbookViewId="0">
      <pane xSplit="3" ySplit="1" topLeftCell="CY6" activePane="bottomRight" state="frozen"/>
      <selection pane="topRight" activeCell="D1" sqref="D1"/>
      <selection pane="bottomLeft" activeCell="A2" sqref="A2"/>
      <selection pane="bottomRight" activeCell="DE5" sqref="DE5:DE27"/>
    </sheetView>
  </sheetViews>
  <sheetFormatPr defaultRowHeight="14.5" x14ac:dyDescent="0.35"/>
  <cols>
    <col min="1" max="1" width="24" style="9" bestFit="1" customWidth="1"/>
    <col min="2" max="2" width="66.453125" bestFit="1" customWidth="1"/>
  </cols>
  <sheetData>
    <row r="1" spans="1:109" x14ac:dyDescent="0.3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</row>
    <row r="2" spans="1:109" x14ac:dyDescent="0.3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  <c r="DE2" s="15">
        <v>0.85458150600890015</v>
      </c>
    </row>
    <row r="3" spans="1:109" x14ac:dyDescent="0.3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  <c r="DE3" s="13">
        <v>0.83570164396578051</v>
      </c>
    </row>
    <row r="4" spans="1:109" x14ac:dyDescent="0.3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  <c r="DE4" s="13">
        <v>1.0155843393103492</v>
      </c>
    </row>
    <row r="5" spans="1:109" x14ac:dyDescent="0.3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  <c r="DE5" s="15">
        <v>0.83570164396578051</v>
      </c>
    </row>
    <row r="6" spans="1:109" x14ac:dyDescent="0.3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  <c r="DE6" s="13">
        <v>0.74142876099982935</v>
      </c>
    </row>
    <row r="7" spans="1:109" x14ac:dyDescent="0.3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  <c r="DE7" s="13">
        <v>-0.15758338003468708</v>
      </c>
    </row>
    <row r="8" spans="1:109" x14ac:dyDescent="0.3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  <c r="DE8" s="13">
        <v>-0.95416913684732707</v>
      </c>
    </row>
    <row r="9" spans="1:109" x14ac:dyDescent="0.3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  <c r="DE9" s="13">
        <v>-0.44120785539596419</v>
      </c>
    </row>
    <row r="10" spans="1:109" x14ac:dyDescent="0.3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  <c r="DE10" s="13">
        <v>-0.15144675802012397</v>
      </c>
    </row>
    <row r="11" spans="1:109" x14ac:dyDescent="0.3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</row>
    <row r="12" spans="1:109" x14ac:dyDescent="0.3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  <c r="DE12" s="13">
        <v>6.5033607251533621</v>
      </c>
    </row>
    <row r="13" spans="1:109" x14ac:dyDescent="0.3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  <c r="DE13" s="13">
        <v>9.1988124742847788E-2</v>
      </c>
    </row>
    <row r="14" spans="1:109" x14ac:dyDescent="0.3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  <c r="DE14" s="13">
        <v>1.7891881482527072</v>
      </c>
    </row>
    <row r="15" spans="1:109" x14ac:dyDescent="0.3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  <c r="DE15" s="13">
        <v>0.41294751586091749</v>
      </c>
    </row>
    <row r="16" spans="1:109" x14ac:dyDescent="0.3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  <c r="DE16" s="13">
        <v>1.592807614935654</v>
      </c>
    </row>
    <row r="17" spans="1:109" x14ac:dyDescent="0.3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  <c r="DE17" s="13">
        <v>1.7787109563449643</v>
      </c>
    </row>
    <row r="18" spans="1:109" x14ac:dyDescent="0.3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  <c r="DE18" s="13">
        <v>3.6664603421076691</v>
      </c>
    </row>
    <row r="19" spans="1:109" x14ac:dyDescent="0.3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  <c r="DE19" s="13">
        <v>-0.77968019494047969</v>
      </c>
    </row>
    <row r="20" spans="1:109" x14ac:dyDescent="0.3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  <c r="DE20" s="13">
        <v>0.43658870311056308</v>
      </c>
    </row>
    <row r="21" spans="1:109" x14ac:dyDescent="0.3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  <c r="DE21" s="13">
        <v>4.1745095058212334</v>
      </c>
    </row>
    <row r="22" spans="1:109" x14ac:dyDescent="0.3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  <c r="DE22" s="13">
        <v>0.66688198002968768</v>
      </c>
    </row>
    <row r="23" spans="1:109" x14ac:dyDescent="0.3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  <c r="DE23" s="15">
        <v>1.0155843393103492</v>
      </c>
    </row>
    <row r="24" spans="1:109" x14ac:dyDescent="0.3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  <c r="DE24" s="13">
        <v>1.2831647771815113</v>
      </c>
    </row>
    <row r="25" spans="1:109" x14ac:dyDescent="0.3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  <c r="DE25" s="13">
        <v>0.21817025992703076</v>
      </c>
    </row>
    <row r="26" spans="1:109" x14ac:dyDescent="0.3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</row>
    <row r="27" spans="1:109" x14ac:dyDescent="0.3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  <c r="DE27" s="13">
        <v>5.8579753078545238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E27"/>
  <sheetViews>
    <sheetView workbookViewId="0">
      <pane xSplit="3" ySplit="1" topLeftCell="CW6" activePane="bottomRight" state="frozen"/>
      <selection pane="topRight" activeCell="D1" sqref="D1"/>
      <selection pane="bottomLeft" activeCell="A2" sqref="A2"/>
      <selection pane="bottomRight" activeCell="DE5" sqref="DE5:DE27"/>
    </sheetView>
  </sheetViews>
  <sheetFormatPr defaultRowHeight="14.5" x14ac:dyDescent="0.35"/>
  <cols>
    <col min="2" max="2" width="65.26953125" bestFit="1" customWidth="1"/>
  </cols>
  <sheetData>
    <row r="1" spans="1:109" x14ac:dyDescent="0.3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</row>
    <row r="2" spans="1:109" x14ac:dyDescent="0.3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0.1940867562904014</v>
      </c>
    </row>
    <row r="3" spans="1:109" x14ac:dyDescent="0.3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  <c r="DE3" s="13">
        <v>0.25046058785853642</v>
      </c>
    </row>
    <row r="4" spans="1:109" x14ac:dyDescent="0.3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  <c r="DE4" s="13">
        <v>-0.28324459757891329</v>
      </c>
    </row>
    <row r="5" spans="1:109" x14ac:dyDescent="0.3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  <c r="DE5" s="15">
        <v>0.25046058785853642</v>
      </c>
    </row>
    <row r="6" spans="1:109" x14ac:dyDescent="0.3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  <c r="DE6" s="13">
        <v>-0.35426174939786614</v>
      </c>
    </row>
    <row r="7" spans="1:109" x14ac:dyDescent="0.3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  <c r="DE7" s="13">
        <v>0</v>
      </c>
    </row>
    <row r="8" spans="1:109" x14ac:dyDescent="0.3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  <c r="DE8" s="13">
        <v>-0.14846348796030417</v>
      </c>
    </row>
    <row r="9" spans="1:109" x14ac:dyDescent="0.3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  <c r="DE9" s="13">
        <v>0.10662962101810614</v>
      </c>
    </row>
    <row r="10" spans="1:109" x14ac:dyDescent="0.3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  <c r="DE10" s="13">
        <v>0</v>
      </c>
    </row>
    <row r="11" spans="1:109" x14ac:dyDescent="0.3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</row>
    <row r="12" spans="1:109" x14ac:dyDescent="0.3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  <c r="DE12" s="13">
        <v>-3.1397194357044467</v>
      </c>
    </row>
    <row r="13" spans="1:109" x14ac:dyDescent="0.3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  <c r="DE13" s="13">
        <v>-2.6528641311274193E-2</v>
      </c>
    </row>
    <row r="14" spans="1:109" x14ac:dyDescent="0.3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  <c r="DE14" s="13">
        <v>-0.21157626078908143</v>
      </c>
    </row>
    <row r="15" spans="1:109" x14ac:dyDescent="0.3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  <c r="DE15" s="13">
        <v>1.0710785853861315</v>
      </c>
    </row>
    <row r="16" spans="1:109" x14ac:dyDescent="0.3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  <c r="DE16" s="13">
        <v>0.5157628253940949</v>
      </c>
    </row>
    <row r="17" spans="1:109" x14ac:dyDescent="0.3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  <c r="DE17" s="13">
        <v>2.0822817454308362</v>
      </c>
    </row>
    <row r="18" spans="1:109" x14ac:dyDescent="0.3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  <c r="DE18" s="13">
        <v>2.640571991444518</v>
      </c>
    </row>
    <row r="19" spans="1:109" x14ac:dyDescent="0.3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  <c r="DE19" s="13">
        <v>0.30264474387409201</v>
      </c>
    </row>
    <row r="20" spans="1:109" x14ac:dyDescent="0.3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  <c r="DE20" s="13">
        <v>-0.37303115384162977</v>
      </c>
    </row>
    <row r="21" spans="1:109" x14ac:dyDescent="0.3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  <c r="DE21" s="13">
        <v>-8.8594335883929176E-3</v>
      </c>
    </row>
    <row r="22" spans="1:109" x14ac:dyDescent="0.3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  <c r="DE22" s="13">
        <v>0.56265231857464126</v>
      </c>
    </row>
    <row r="23" spans="1:109" x14ac:dyDescent="0.3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  <c r="DE23" s="15">
        <v>-0.28324459757891329</v>
      </c>
    </row>
    <row r="24" spans="1:109" x14ac:dyDescent="0.3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  <c r="DE24" s="13">
        <v>-0.37074554579442642</v>
      </c>
    </row>
    <row r="25" spans="1:109" x14ac:dyDescent="0.3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  <c r="DE25" s="13">
        <v>-0.2257491362266717</v>
      </c>
    </row>
    <row r="26" spans="1:109" x14ac:dyDescent="0.3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</row>
    <row r="27" spans="1:109" x14ac:dyDescent="0.3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S77"/>
  <sheetViews>
    <sheetView workbookViewId="0">
      <pane xSplit="5" topLeftCell="DO1" activePane="topRight" state="frozen"/>
      <selection pane="topRight" activeCell="DS63" sqref="DS63:DS75"/>
    </sheetView>
  </sheetViews>
  <sheetFormatPr defaultColWidth="8.81640625" defaultRowHeight="15.5" x14ac:dyDescent="0.35"/>
  <cols>
    <col min="1" max="1" width="8.7265625" style="46" customWidth="1"/>
    <col min="2" max="2" width="7.1796875" style="46" customWidth="1"/>
    <col min="3" max="3" width="15.453125" style="68" customWidth="1"/>
    <col min="4" max="4" width="57.26953125" style="46" customWidth="1"/>
    <col min="5" max="5" width="15.54296875" style="110" customWidth="1"/>
    <col min="6" max="6" width="13.1796875" style="61" customWidth="1"/>
    <col min="7" max="7" width="8.453125" style="61" customWidth="1"/>
    <col min="8" max="17" width="8.7265625" style="61" customWidth="1"/>
    <col min="18" max="75" width="8.7265625" style="46" customWidth="1"/>
    <col min="76" max="76" width="9.81640625" style="46" customWidth="1"/>
    <col min="77" max="91" width="8.7265625" style="46" customWidth="1"/>
    <col min="92" max="92" width="13.1796875" style="46" customWidth="1"/>
    <col min="93" max="100" width="8.7265625" style="46" customWidth="1"/>
    <col min="101" max="101" width="8.81640625" style="46"/>
    <col min="102" max="123" width="8.7265625" style="46" customWidth="1"/>
    <col min="124" max="130" width="8.81640625" style="46"/>
    <col min="131" max="132" width="13.453125" style="46" customWidth="1"/>
    <col min="133" max="133" width="64.54296875" style="46" customWidth="1"/>
    <col min="134" max="134" width="15.26953125" style="46" customWidth="1"/>
    <col min="135" max="135" width="14.81640625" style="46" customWidth="1"/>
    <col min="136" max="136" width="17.453125" style="46" customWidth="1"/>
    <col min="137" max="140" width="13.26953125" style="46" customWidth="1"/>
    <col min="141" max="16384" width="8.81640625" style="46"/>
  </cols>
  <sheetData>
    <row r="1" spans="1:123" s="6" customFormat="1" x14ac:dyDescent="0.35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  <c r="DS1" s="20">
        <v>46113</v>
      </c>
    </row>
    <row r="2" spans="1:123" s="26" customFormat="1" x14ac:dyDescent="0.35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  <c r="DS2" s="25">
        <v>127.48156274909961</v>
      </c>
    </row>
    <row r="3" spans="1:123" s="26" customFormat="1" x14ac:dyDescent="0.35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  <c r="DS3" s="24">
        <v>138.04674301375618</v>
      </c>
    </row>
    <row r="4" spans="1:123" s="30" customFormat="1" x14ac:dyDescent="0.35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  <c r="DS4" s="33">
        <v>176.38065826824311</v>
      </c>
    </row>
    <row r="5" spans="1:123" s="35" customFormat="1" x14ac:dyDescent="0.35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  <c r="DS5" s="36">
        <v>140.42072660045145</v>
      </c>
    </row>
    <row r="6" spans="1:123" s="35" customFormat="1" x14ac:dyDescent="0.35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  <c r="DS6" s="36">
        <v>127.88930470589121</v>
      </c>
    </row>
    <row r="7" spans="1:123" s="35" customFormat="1" x14ac:dyDescent="0.35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  <c r="DS7" s="36">
        <v>164.44859645762608</v>
      </c>
    </row>
    <row r="8" spans="1:123" s="35" customFormat="1" x14ac:dyDescent="0.35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  <c r="DS8" s="36">
        <v>134.29273946073238</v>
      </c>
    </row>
    <row r="9" spans="1:123" s="35" customFormat="1" x14ac:dyDescent="0.35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  <c r="DS9" s="36">
        <v>114.62890740356751</v>
      </c>
    </row>
    <row r="10" spans="1:123" s="38" customFormat="1" x14ac:dyDescent="0.35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  <c r="DS10" s="39">
        <v>120.88013510076709</v>
      </c>
    </row>
    <row r="11" spans="1:123" s="38" customFormat="1" x14ac:dyDescent="0.35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  <c r="DS11" s="39">
        <v>108.8853475015891</v>
      </c>
    </row>
    <row r="12" spans="1:123" s="38" customFormat="1" x14ac:dyDescent="0.35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  <c r="DS12" s="39">
        <v>174.58448597639656</v>
      </c>
    </row>
    <row r="13" spans="1:123" s="38" customFormat="1" x14ac:dyDescent="0.35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  <c r="DS13" s="39">
        <v>172.06068058980949</v>
      </c>
    </row>
    <row r="14" spans="1:123" s="38" customFormat="1" x14ac:dyDescent="0.35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  <c r="DS14" s="39">
        <v>105.68813252763738</v>
      </c>
    </row>
    <row r="15" spans="1:123" s="42" customFormat="1" x14ac:dyDescent="0.35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  <c r="DS15" s="41">
        <v>97.77786846576636</v>
      </c>
    </row>
    <row r="16" spans="1:123" x14ac:dyDescent="0.35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  <c r="DS16" s="24">
        <v>113.19409959565864</v>
      </c>
    </row>
    <row r="17" spans="1:123" s="42" customFormat="1" x14ac:dyDescent="0.35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  <c r="DS17" s="41">
        <v>97.560844059532243</v>
      </c>
    </row>
    <row r="18" spans="1:123" s="42" customFormat="1" x14ac:dyDescent="0.35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  <c r="DS18" s="47">
        <v>112.18633889599394</v>
      </c>
    </row>
    <row r="19" spans="1:123" s="42" customFormat="1" x14ac:dyDescent="0.35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  <c r="DS19" s="41">
        <v>124.31333697967604</v>
      </c>
    </row>
    <row r="20" spans="1:123" s="42" customFormat="1" x14ac:dyDescent="0.35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  <c r="DS20" s="41">
        <v>101.64202404148759</v>
      </c>
    </row>
    <row r="21" spans="1:123" x14ac:dyDescent="0.35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  <c r="DS21" s="48">
        <v>91.813011018014222</v>
      </c>
    </row>
    <row r="22" spans="1:123" s="42" customFormat="1" x14ac:dyDescent="0.35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  <c r="DS22" s="41">
        <v>91.813011018014222</v>
      </c>
    </row>
    <row r="23" spans="1:123" x14ac:dyDescent="0.35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  <c r="DS23" s="24">
        <v>123.47168268488105</v>
      </c>
    </row>
    <row r="24" spans="1:123" s="43" customFormat="1" x14ac:dyDescent="0.35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  <c r="DS24" s="47">
        <v>118.93090165961672</v>
      </c>
    </row>
    <row r="25" spans="1:123" s="42" customFormat="1" x14ac:dyDescent="0.35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  <c r="DS25" s="41">
        <v>128.46225099643547</v>
      </c>
    </row>
    <row r="26" spans="1:123" s="26" customFormat="1" x14ac:dyDescent="0.35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  <c r="DS26" s="50">
        <v>122.71061731450217</v>
      </c>
    </row>
    <row r="27" spans="1:123" s="42" customFormat="1" x14ac:dyDescent="0.35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  <c r="DS27" s="41">
        <v>122.71061731450217</v>
      </c>
    </row>
    <row r="28" spans="1:123" s="26" customFormat="1" ht="19.149999999999999" customHeight="1" x14ac:dyDescent="0.35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  <c r="DS28" s="50">
        <v>116.46361225799623</v>
      </c>
    </row>
    <row r="29" spans="1:123" s="35" customFormat="1" x14ac:dyDescent="0.35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  <c r="DS29" s="36">
        <v>116.46361225799623</v>
      </c>
    </row>
    <row r="30" spans="1:123" s="55" customFormat="1" x14ac:dyDescent="0.35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  <c r="DS30" s="54">
        <v>103.26910217211778</v>
      </c>
    </row>
    <row r="31" spans="1:123" s="42" customFormat="1" x14ac:dyDescent="0.35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  <c r="DS31" s="41">
        <v>103.26910217211778</v>
      </c>
    </row>
    <row r="32" spans="1:123" x14ac:dyDescent="0.35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  <c r="DS32" s="24">
        <v>122.41425545773994</v>
      </c>
    </row>
    <row r="33" spans="1:123" s="42" customFormat="1" x14ac:dyDescent="0.35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  <c r="DS33" s="41">
        <v>109.68444271813023</v>
      </c>
    </row>
    <row r="34" spans="1:123" s="42" customFormat="1" x14ac:dyDescent="0.35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  <c r="DS34" s="41">
        <v>131.96328512135523</v>
      </c>
    </row>
    <row r="35" spans="1:123" s="43" customFormat="1" x14ac:dyDescent="0.35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  <c r="DS35" s="47">
        <v>115.15735822282876</v>
      </c>
    </row>
    <row r="36" spans="1:123" s="26" customFormat="1" x14ac:dyDescent="0.35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  <c r="DS36" s="50">
        <v>110.82005671436382</v>
      </c>
    </row>
    <row r="37" spans="1:123" s="35" customFormat="1" x14ac:dyDescent="0.35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  <c r="DS37" s="36">
        <v>110.82005671436382</v>
      </c>
    </row>
    <row r="38" spans="1:123" x14ac:dyDescent="0.35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  <c r="DS38" s="24">
        <v>138.78323725949565</v>
      </c>
    </row>
    <row r="39" spans="1:123" s="43" customFormat="1" x14ac:dyDescent="0.35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  <c r="DS39" s="47">
        <v>116.37572032202166</v>
      </c>
    </row>
    <row r="40" spans="1:123" s="43" customFormat="1" x14ac:dyDescent="0.35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  <c r="DS40" s="47">
        <v>151.24231552576475</v>
      </c>
    </row>
    <row r="41" spans="1:123" s="43" customFormat="1" x14ac:dyDescent="0.35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  <c r="DS41" s="47">
        <v>124.35980074182666</v>
      </c>
    </row>
    <row r="42" spans="1:123" x14ac:dyDescent="0.35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  <c r="DS42" s="48">
        <v>114.19504992650512</v>
      </c>
    </row>
    <row r="43" spans="1:123" s="42" customFormat="1" x14ac:dyDescent="0.35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  <c r="DS43" s="41">
        <v>114.19504992650512</v>
      </c>
    </row>
    <row r="44" spans="1:123" x14ac:dyDescent="0.35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  <c r="DS44" s="48">
        <v>109.4588225065495</v>
      </c>
    </row>
    <row r="45" spans="1:123" s="42" customFormat="1" x14ac:dyDescent="0.35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  <c r="DS45" s="41">
        <v>109.4588225065495</v>
      </c>
    </row>
    <row r="46" spans="1:123" s="6" customFormat="1" ht="31" x14ac:dyDescent="0.35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  <c r="DS46" s="24">
        <v>108.54740013533451</v>
      </c>
    </row>
    <row r="47" spans="1:123" s="43" customFormat="1" x14ac:dyDescent="0.35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  <c r="DS47" s="47">
        <v>121.31593275542362</v>
      </c>
    </row>
    <row r="48" spans="1:123" s="43" customFormat="1" x14ac:dyDescent="0.35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  <c r="DS48" s="47">
        <v>108.2220687303635</v>
      </c>
    </row>
    <row r="49" spans="1:123" s="43" customFormat="1" x14ac:dyDescent="0.35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  <c r="DS49" s="47">
        <v>106.20409138160069</v>
      </c>
    </row>
    <row r="50" spans="1:123" s="6" customFormat="1" x14ac:dyDescent="0.35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  <c r="DS50" s="59">
        <v>124.6540872029388</v>
      </c>
    </row>
    <row r="51" spans="1:123" s="42" customFormat="1" x14ac:dyDescent="0.35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  <c r="DS51" s="41">
        <v>124.6540872029388</v>
      </c>
    </row>
    <row r="52" spans="1:123" x14ac:dyDescent="0.35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  <c r="DS52" s="59">
        <v>124.35766757412064</v>
      </c>
    </row>
    <row r="53" spans="1:123" s="42" customFormat="1" x14ac:dyDescent="0.35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  <c r="DS53" s="41">
        <v>124.35766757412064</v>
      </c>
    </row>
    <row r="54" spans="1:123" x14ac:dyDescent="0.35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  <c r="DS54" s="24">
        <v>117.22966327542005</v>
      </c>
    </row>
    <row r="55" spans="1:123" s="42" customFormat="1" x14ac:dyDescent="0.35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  <c r="DS55" s="41">
        <v>113.87086297665245</v>
      </c>
    </row>
    <row r="56" spans="1:123" s="42" customFormat="1" x14ac:dyDescent="0.35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  <c r="DS56" s="41">
        <v>119.89069597711693</v>
      </c>
    </row>
    <row r="57" spans="1:123" x14ac:dyDescent="0.35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  <c r="DS57" s="48">
        <v>133.67659903547948</v>
      </c>
    </row>
    <row r="58" spans="1:123" s="42" customFormat="1" x14ac:dyDescent="0.35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  <c r="DS58" s="41">
        <v>133.67659903547948</v>
      </c>
    </row>
    <row r="59" spans="1:123" x14ac:dyDescent="0.35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3" x14ac:dyDescent="0.35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3" s="62" customFormat="1" x14ac:dyDescent="0.35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</row>
    <row r="62" spans="1:123" s="6" customFormat="1" x14ac:dyDescent="0.35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  <c r="DS62" s="5">
        <v>46113</v>
      </c>
    </row>
    <row r="63" spans="1:123" s="26" customFormat="1" x14ac:dyDescent="0.35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  <c r="DS63" s="23">
        <v>116.90360732579101</v>
      </c>
    </row>
    <row r="64" spans="1:123" s="26" customFormat="1" ht="27" customHeight="1" x14ac:dyDescent="0.35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  <c r="DS64" s="48">
        <v>122.86977274248109</v>
      </c>
    </row>
    <row r="65" spans="1:123" s="42" customFormat="1" x14ac:dyDescent="0.35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  <c r="DS65" s="41">
        <v>122.86977274248109</v>
      </c>
    </row>
    <row r="66" spans="1:123" x14ac:dyDescent="0.35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  <c r="DS66" s="48">
        <v>112.6481280529777</v>
      </c>
    </row>
    <row r="67" spans="1:123" s="42" customFormat="1" x14ac:dyDescent="0.35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  <c r="DS67" s="41">
        <v>112.6481280529777</v>
      </c>
    </row>
    <row r="68" spans="1:123" x14ac:dyDescent="0.35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  <c r="DS68" s="48">
        <v>99.397305245416177</v>
      </c>
    </row>
    <row r="69" spans="1:123" s="42" customFormat="1" x14ac:dyDescent="0.35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  <c r="DS69" s="41">
        <v>99.397305245416177</v>
      </c>
    </row>
    <row r="70" spans="1:123" x14ac:dyDescent="0.35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  <c r="DS70" s="65">
        <v>105.86382498025658</v>
      </c>
    </row>
    <row r="71" spans="1:123" x14ac:dyDescent="0.35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  <c r="DS71" s="67">
        <v>104.92730028738345</v>
      </c>
    </row>
    <row r="72" spans="1:123" x14ac:dyDescent="0.35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  <c r="DS72" s="60">
        <v>106.31638900960895</v>
      </c>
    </row>
    <row r="73" spans="1:123" s="42" customFormat="1" x14ac:dyDescent="0.35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  <c r="DS73" s="41">
        <v>106.31638900960895</v>
      </c>
    </row>
    <row r="74" spans="1:123" s="42" customFormat="1" x14ac:dyDescent="0.35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  <c r="DS74" s="41">
        <v>104.10541872629467</v>
      </c>
    </row>
    <row r="75" spans="1:123" s="42" customFormat="1" x14ac:dyDescent="0.35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  <c r="DS75" s="41">
        <v>110.6228064201679</v>
      </c>
    </row>
    <row r="77" spans="1:123" x14ac:dyDescent="0.35">
      <c r="E77" s="110">
        <v>1000.0000000000002</v>
      </c>
    </row>
  </sheetData>
  <mergeCells count="1">
    <mergeCell ref="A1:C1"/>
  </mergeCells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U80"/>
  <sheetViews>
    <sheetView topLeftCell="C1" workbookViewId="0">
      <pane xSplit="3" topLeftCell="CS1" activePane="topRight" state="frozen"/>
      <selection activeCell="C1" sqref="C1"/>
      <selection pane="topRight" activeCell="CU64" sqref="CU64:CU75"/>
    </sheetView>
  </sheetViews>
  <sheetFormatPr defaultRowHeight="14.5" x14ac:dyDescent="0.35"/>
  <cols>
    <col min="1" max="1" width="9.1796875" style="80"/>
    <col min="3" max="3" width="18.26953125" customWidth="1"/>
    <col min="4" max="4" width="104.54296875" bestFit="1" customWidth="1"/>
    <col min="5" max="5" width="10.453125" style="111" bestFit="1" customWidth="1"/>
  </cols>
  <sheetData>
    <row r="1" spans="1:99" ht="15.5" x14ac:dyDescent="0.3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  <c r="CU1" s="5">
        <v>46113</v>
      </c>
    </row>
    <row r="2" spans="1:99" ht="15.5" x14ac:dyDescent="0.3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</row>
    <row r="3" spans="1:99" ht="15.5" x14ac:dyDescent="0.3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  <c r="CU3" s="70">
        <v>0.74142876099982935</v>
      </c>
    </row>
    <row r="4" spans="1:99" ht="15.5" x14ac:dyDescent="0.3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  <c r="CU4" s="72">
        <v>1.9430597461737475</v>
      </c>
    </row>
    <row r="5" spans="1:99" ht="15.5" x14ac:dyDescent="0.3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  <c r="CU5" s="73">
        <v>-0.33983602131049118</v>
      </c>
    </row>
    <row r="6" spans="1:99" ht="15.5" x14ac:dyDescent="0.3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  <c r="CU6" s="73">
        <v>2.1196844840038143</v>
      </c>
    </row>
    <row r="7" spans="1:99" ht="15.5" x14ac:dyDescent="0.3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  <c r="CU7" s="73">
        <v>-5.1853040973770526E-3</v>
      </c>
    </row>
    <row r="8" spans="1:99" ht="15.5" x14ac:dyDescent="0.3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  <c r="CU8" s="73">
        <v>-1.5177916749982256</v>
      </c>
    </row>
    <row r="9" spans="1:99" ht="15.5" x14ac:dyDescent="0.3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  <c r="CU9" s="73">
        <v>7.967513114103153</v>
      </c>
    </row>
    <row r="10" spans="1:99" ht="15.5" x14ac:dyDescent="0.3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  <c r="CU10" s="74">
        <v>0.59440703820667906</v>
      </c>
    </row>
    <row r="11" spans="1:99" ht="15.5" x14ac:dyDescent="0.3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  <c r="CU11" s="74">
        <v>-10.448277060231403</v>
      </c>
    </row>
    <row r="12" spans="1:99" ht="15.5" x14ac:dyDescent="0.3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  <c r="CU12" s="74">
        <v>-4.5558574387615902</v>
      </c>
    </row>
    <row r="13" spans="1:99" ht="15.5" x14ac:dyDescent="0.3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  <c r="CU13" s="74">
        <v>1.9566923213330867</v>
      </c>
    </row>
    <row r="14" spans="1:99" ht="15.5" x14ac:dyDescent="0.3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  <c r="CU14" s="74">
        <v>-2.4365994092153453</v>
      </c>
    </row>
    <row r="15" spans="1:99" ht="15.5" x14ac:dyDescent="0.3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  <c r="CU15" s="75">
        <v>2.3558462589538198</v>
      </c>
    </row>
    <row r="16" spans="1:99" ht="15.5" x14ac:dyDescent="0.3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  <c r="CU16" s="70">
        <v>-0.15758338003468708</v>
      </c>
    </row>
    <row r="17" spans="1:99" ht="15.5" x14ac:dyDescent="0.3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  <c r="CU17" s="75">
        <v>-0.6824796012602441</v>
      </c>
    </row>
    <row r="18" spans="1:99" ht="15.5" x14ac:dyDescent="0.3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  <c r="CU18" s="76">
        <v>0</v>
      </c>
    </row>
    <row r="19" spans="1:99" ht="15.5" x14ac:dyDescent="0.3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  <c r="CU19" s="75">
        <v>0</v>
      </c>
    </row>
    <row r="20" spans="1:99" ht="15.5" x14ac:dyDescent="0.3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  <c r="CU20" s="75">
        <v>0</v>
      </c>
    </row>
    <row r="21" spans="1:99" ht="15.5" x14ac:dyDescent="0.3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  <c r="CU21" s="90">
        <v>-0.95416913684732707</v>
      </c>
    </row>
    <row r="22" spans="1:99" ht="15.5" x14ac:dyDescent="0.3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  <c r="CU22" s="75">
        <v>-0.95416913684732707</v>
      </c>
    </row>
    <row r="23" spans="1:99" ht="15.5" x14ac:dyDescent="0.3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  <c r="CU23" s="70">
        <v>-0.44120785539596419</v>
      </c>
    </row>
    <row r="24" spans="1:99" ht="15.5" x14ac:dyDescent="0.3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  <c r="CU24" s="76">
        <v>0</v>
      </c>
    </row>
    <row r="25" spans="1:99" ht="15.5" x14ac:dyDescent="0.3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  <c r="CU25" s="75">
        <v>-0.88616292083191217</v>
      </c>
    </row>
    <row r="26" spans="1:99" ht="15.5" x14ac:dyDescent="0.3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  <c r="CU26" s="91">
        <v>-0.15144675802012397</v>
      </c>
    </row>
    <row r="27" spans="1:99" ht="15.5" x14ac:dyDescent="0.3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  <c r="CU27" s="75">
        <v>-0.15144675802012397</v>
      </c>
    </row>
    <row r="28" spans="1:99" ht="15.5" x14ac:dyDescent="0.3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  <c r="CU28" s="91">
        <v>5.9376462209306924</v>
      </c>
    </row>
    <row r="29" spans="1:99" ht="15.5" x14ac:dyDescent="0.3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  <c r="CU29" s="73">
        <v>5.9376462209306924</v>
      </c>
    </row>
    <row r="30" spans="1:99" ht="15.5" x14ac:dyDescent="0.3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  <c r="CU30" s="92">
        <v>6.5033607251533621</v>
      </c>
    </row>
    <row r="31" spans="1:99" ht="15.5" x14ac:dyDescent="0.3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  <c r="CU31" s="75">
        <v>6.5033607251533621</v>
      </c>
    </row>
    <row r="32" spans="1:99" ht="15.5" x14ac:dyDescent="0.3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  <c r="CU32" s="70">
        <v>9.1988124742847788E-2</v>
      </c>
    </row>
    <row r="33" spans="1:99" ht="15.5" x14ac:dyDescent="0.3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  <c r="CU33" s="75">
        <v>-1.5303923896811011</v>
      </c>
    </row>
    <row r="34" spans="1:99" ht="15.5" x14ac:dyDescent="0.3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  <c r="CU34" s="75">
        <v>0.15950231633727885</v>
      </c>
    </row>
    <row r="35" spans="1:99" ht="15.5" x14ac:dyDescent="0.3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  <c r="CU35" s="76">
        <v>0.26019565147752388</v>
      </c>
    </row>
    <row r="36" spans="1:99" ht="15.5" x14ac:dyDescent="0.3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  <c r="CU36" s="91">
        <v>1.7891881482527072</v>
      </c>
    </row>
    <row r="37" spans="1:99" ht="15.5" x14ac:dyDescent="0.3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  <c r="CU37" s="73">
        <v>1.7891881482527072</v>
      </c>
    </row>
    <row r="38" spans="1:99" ht="15.5" x14ac:dyDescent="0.3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  <c r="CU38" s="70">
        <v>0.41294751586091749</v>
      </c>
    </row>
    <row r="39" spans="1:99" ht="15.5" x14ac:dyDescent="0.3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  <c r="CU39" s="76">
        <v>1.1056469155066306</v>
      </c>
    </row>
    <row r="40" spans="1:99" ht="15.5" x14ac:dyDescent="0.3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  <c r="CU40" s="76">
        <v>0.32402070496204693</v>
      </c>
    </row>
    <row r="41" spans="1:99" ht="15.5" x14ac:dyDescent="0.3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  <c r="CU41" s="76">
        <v>0</v>
      </c>
    </row>
    <row r="42" spans="1:99" ht="15.5" x14ac:dyDescent="0.3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  <c r="CU42" s="90">
        <v>1.592807614935654</v>
      </c>
    </row>
    <row r="43" spans="1:99" ht="15.5" x14ac:dyDescent="0.3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  <c r="CU43" s="75">
        <v>1.592807614935654</v>
      </c>
    </row>
    <row r="44" spans="1:99" ht="15.5" x14ac:dyDescent="0.3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  <c r="CU44" s="90">
        <v>1.7787109563449643</v>
      </c>
    </row>
    <row r="45" spans="1:99" ht="15.5" x14ac:dyDescent="0.3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  <c r="CU45" s="75">
        <v>1.7787109563449643</v>
      </c>
    </row>
    <row r="46" spans="1:99" ht="15.5" x14ac:dyDescent="0.3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  <c r="CU46" s="70">
        <v>3.6664603421076691</v>
      </c>
    </row>
    <row r="47" spans="1:99" ht="15.5" x14ac:dyDescent="0.3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  <c r="CU47" s="76">
        <v>0.17673583996922204</v>
      </c>
    </row>
    <row r="48" spans="1:99" ht="15.5" x14ac:dyDescent="0.3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  <c r="CU48" s="76">
        <v>3.78580724003581</v>
      </c>
    </row>
    <row r="49" spans="1:99" ht="15.5" x14ac:dyDescent="0.3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  <c r="CU49" s="76">
        <v>2.3559166248405594</v>
      </c>
    </row>
    <row r="50" spans="1:99" ht="15.5" x14ac:dyDescent="0.3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  <c r="CU50" s="93">
        <v>-0.77968019494047969</v>
      </c>
    </row>
    <row r="51" spans="1:99" ht="15.5" x14ac:dyDescent="0.3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  <c r="CU51" s="75">
        <v>-0.77968019494047969</v>
      </c>
    </row>
    <row r="52" spans="1:99" ht="15.5" x14ac:dyDescent="0.3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  <c r="CU52" s="93">
        <v>0.43658870311056308</v>
      </c>
    </row>
    <row r="53" spans="1:99" ht="15.5" x14ac:dyDescent="0.3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  <c r="CU53" s="75">
        <v>0.43658870311056308</v>
      </c>
    </row>
    <row r="54" spans="1:99" ht="15.5" x14ac:dyDescent="0.3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  <c r="CU54" s="70">
        <v>4.1745095058212334</v>
      </c>
    </row>
    <row r="55" spans="1:99" ht="15.5" x14ac:dyDescent="0.3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  <c r="CU55" s="75">
        <v>0</v>
      </c>
    </row>
    <row r="56" spans="1:99" ht="15.5" x14ac:dyDescent="0.3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  <c r="CU56" s="75">
        <v>7.5529874785456697</v>
      </c>
    </row>
    <row r="57" spans="1:99" ht="15.5" x14ac:dyDescent="0.3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  <c r="CU57" s="90">
        <v>0.66688198002968768</v>
      </c>
    </row>
    <row r="58" spans="1:99" ht="15.5" x14ac:dyDescent="0.3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  <c r="CU58" s="75">
        <v>0.66688198002968768</v>
      </c>
    </row>
    <row r="59" spans="1:99" ht="15.5" x14ac:dyDescent="0.3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</row>
    <row r="60" spans="1:99" ht="15.5" x14ac:dyDescent="0.3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</row>
    <row r="61" spans="1:99" ht="15.5" x14ac:dyDescent="0.3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</row>
    <row r="62" spans="1:99" ht="15.5" x14ac:dyDescent="0.3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  <c r="CU62" s="5">
        <v>46113</v>
      </c>
    </row>
    <row r="63" spans="1:99" ht="15.5" x14ac:dyDescent="0.3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</row>
    <row r="64" spans="1:99" ht="15.5" x14ac:dyDescent="0.3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  <c r="CU64" s="90">
        <v>1.2831647771815113</v>
      </c>
    </row>
    <row r="65" spans="1:99" ht="15.5" x14ac:dyDescent="0.3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  <c r="CU65" s="75">
        <v>1.2831647771815113</v>
      </c>
    </row>
    <row r="66" spans="1:99" ht="15.5" x14ac:dyDescent="0.3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  <c r="CU66" s="90">
        <v>0.21817025992703076</v>
      </c>
    </row>
    <row r="67" spans="1:99" ht="15.5" x14ac:dyDescent="0.3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  <c r="CU67" s="75">
        <v>0.21817025992703076</v>
      </c>
    </row>
    <row r="68" spans="1:99" ht="15.5" x14ac:dyDescent="0.3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</row>
    <row r="69" spans="1:99" ht="15.5" x14ac:dyDescent="0.3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</row>
    <row r="70" spans="1:99" ht="15.5" x14ac:dyDescent="0.3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  <c r="CU70" s="95">
        <v>5.8579753078545238</v>
      </c>
    </row>
    <row r="71" spans="1:99" ht="15.5" x14ac:dyDescent="0.3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  <c r="CU71" s="96">
        <v>3.6174076522963894</v>
      </c>
    </row>
    <row r="72" spans="1:99" ht="15.5" x14ac:dyDescent="0.3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  <c r="CU72" s="97">
        <v>6.9610375725068785</v>
      </c>
    </row>
    <row r="73" spans="1:99" ht="15.5" x14ac:dyDescent="0.3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  <c r="CU73" s="75">
        <v>6.9610375725068785</v>
      </c>
    </row>
    <row r="74" spans="1:99" ht="15.5" x14ac:dyDescent="0.3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  <c r="CU74" s="75">
        <v>4.195362743720854</v>
      </c>
    </row>
    <row r="75" spans="1:99" ht="15.5" x14ac:dyDescent="0.3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</row>
    <row r="76" spans="1:99" ht="15.5" x14ac:dyDescent="0.3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</row>
    <row r="77" spans="1:99" ht="15.5" x14ac:dyDescent="0.3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</row>
    <row r="78" spans="1:99" ht="15.5" x14ac:dyDescent="0.3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</row>
    <row r="79" spans="1:99" ht="15.5" x14ac:dyDescent="0.3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</row>
    <row r="80" spans="1:99" ht="15.5" x14ac:dyDescent="0.3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U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I80"/>
  <sheetViews>
    <sheetView topLeftCell="A59" workbookViewId="0">
      <pane xSplit="5" topLeftCell="DE1" activePane="topRight" state="frozen"/>
      <selection pane="topRight" activeCell="DG64" sqref="DG64:DG75"/>
    </sheetView>
  </sheetViews>
  <sheetFormatPr defaultRowHeight="14.5" x14ac:dyDescent="0.35"/>
  <cols>
    <col min="1" max="2" width="9.1796875" style="80"/>
    <col min="3" max="3" width="10.81640625" style="80" customWidth="1"/>
    <col min="4" max="4" width="99.1796875" bestFit="1" customWidth="1"/>
    <col min="5" max="5" width="10.453125" bestFit="1" customWidth="1"/>
  </cols>
  <sheetData>
    <row r="1" spans="1:113" ht="15.5" x14ac:dyDescent="0.3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5">
        <v>46113</v>
      </c>
      <c r="DH1" s="6"/>
      <c r="DI1" s="6"/>
    </row>
    <row r="2" spans="1:113" ht="15.5" x14ac:dyDescent="0.3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6"/>
      <c r="DI2" s="26"/>
    </row>
    <row r="3" spans="1:113" ht="15.5" x14ac:dyDescent="0.3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70">
        <v>-0.35426174939786614</v>
      </c>
      <c r="DH3" s="46"/>
      <c r="DI3" s="46"/>
    </row>
    <row r="4" spans="1:113" ht="15.5" x14ac:dyDescent="0.3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  <c r="DG4" s="13">
        <v>-0.73596984451144154</v>
      </c>
    </row>
    <row r="5" spans="1:113" ht="15.5" x14ac:dyDescent="0.3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  <c r="DG5" s="13">
        <v>-3.5154509801615941</v>
      </c>
    </row>
    <row r="6" spans="1:113" ht="15.5" x14ac:dyDescent="0.3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  <c r="DG6" s="13">
        <v>0.37152627077940981</v>
      </c>
    </row>
    <row r="7" spans="1:113" ht="15.5" x14ac:dyDescent="0.3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  <c r="DG7" s="13">
        <v>1.6606416694559867</v>
      </c>
    </row>
    <row r="8" spans="1:113" ht="15.5" x14ac:dyDescent="0.3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  <c r="DG8" s="13">
        <v>-0.15498271707361511</v>
      </c>
    </row>
    <row r="9" spans="1:113" ht="15.5" x14ac:dyDescent="0.3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  <c r="DG9" s="13">
        <v>0.79334077834376515</v>
      </c>
    </row>
    <row r="10" spans="1:113" ht="15.5" x14ac:dyDescent="0.3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  <c r="DG10" s="13">
        <v>0</v>
      </c>
    </row>
    <row r="11" spans="1:113" ht="15.5" x14ac:dyDescent="0.3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  <c r="DG11" s="13">
        <v>-3.2246517994689805</v>
      </c>
    </row>
    <row r="12" spans="1:113" ht="15.5" x14ac:dyDescent="0.3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  <c r="DG12" s="13">
        <v>0</v>
      </c>
    </row>
    <row r="13" spans="1:113" ht="15.5" x14ac:dyDescent="0.3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  <c r="DG13" s="13">
        <v>1.6393966357883816</v>
      </c>
    </row>
    <row r="14" spans="1:113" ht="15.5" x14ac:dyDescent="0.3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  <c r="DG14" s="13">
        <v>0.47213407085242576</v>
      </c>
    </row>
    <row r="15" spans="1:113" ht="15.5" x14ac:dyDescent="0.3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</row>
    <row r="16" spans="1:113" ht="15.5" x14ac:dyDescent="0.3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70">
        <v>0</v>
      </c>
      <c r="DH16" s="46"/>
      <c r="DI16" s="46"/>
    </row>
    <row r="17" spans="1:113" ht="15.5" x14ac:dyDescent="0.3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  <c r="DG17" s="13">
        <v>0</v>
      </c>
    </row>
    <row r="18" spans="1:113" ht="15.5" x14ac:dyDescent="0.3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</row>
    <row r="19" spans="1:113" ht="15.5" x14ac:dyDescent="0.3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</row>
    <row r="20" spans="1:113" ht="15.5" x14ac:dyDescent="0.3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</row>
    <row r="21" spans="1:113" ht="15.5" x14ac:dyDescent="0.3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70">
        <v>-0.14846348796030417</v>
      </c>
      <c r="DH21" s="46"/>
      <c r="DI21" s="46"/>
    </row>
    <row r="22" spans="1:113" ht="15.5" x14ac:dyDescent="0.3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  <c r="DG22" s="13">
        <v>-0.14846348796030417</v>
      </c>
    </row>
    <row r="23" spans="1:113" ht="15.5" x14ac:dyDescent="0.3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70">
        <v>0.10662962101810614</v>
      </c>
      <c r="DH23" s="46"/>
      <c r="DI23" s="46"/>
    </row>
    <row r="24" spans="1:113" ht="15.5" x14ac:dyDescent="0.3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</row>
    <row r="25" spans="1:113" ht="15.5" x14ac:dyDescent="0.3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  <c r="DG25" s="13">
        <v>0.21535997096830961</v>
      </c>
    </row>
    <row r="26" spans="1:113" ht="15.5" x14ac:dyDescent="0.3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70">
        <v>0</v>
      </c>
      <c r="DH26" s="46"/>
      <c r="DI26" s="46"/>
    </row>
    <row r="27" spans="1:113" ht="15.5" x14ac:dyDescent="0.3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  <c r="DG27" s="13">
        <v>0</v>
      </c>
    </row>
    <row r="28" spans="1:113" ht="15.5" x14ac:dyDescent="0.3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5.9376462209306924</v>
      </c>
      <c r="DH28" s="46"/>
      <c r="DI28" s="46"/>
    </row>
    <row r="29" spans="1:113" ht="15.5" x14ac:dyDescent="0.3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5.9376462209306924</v>
      </c>
    </row>
    <row r="30" spans="1:113" ht="15.5" x14ac:dyDescent="0.3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70">
        <v>-3.1397194357044467</v>
      </c>
      <c r="DH30" s="46"/>
      <c r="DI30" s="46"/>
    </row>
    <row r="31" spans="1:113" ht="15.5" x14ac:dyDescent="0.3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  <c r="DG31" s="13">
        <v>-3.1397194357044467</v>
      </c>
    </row>
    <row r="32" spans="1:113" ht="15.5" x14ac:dyDescent="0.3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70">
        <v>-2.6528641311274193E-2</v>
      </c>
      <c r="DH32" s="46"/>
      <c r="DI32" s="46"/>
    </row>
    <row r="33" spans="1:113" ht="15.5" x14ac:dyDescent="0.3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  <c r="DG33" s="13">
        <v>-5.7127446901528156E-2</v>
      </c>
    </row>
    <row r="34" spans="1:113" ht="15.5" x14ac:dyDescent="0.3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  <c r="DG34" s="13">
        <v>-4.6418537073367183E-2</v>
      </c>
    </row>
    <row r="35" spans="1:113" ht="15.5" x14ac:dyDescent="0.3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  <c r="DG35" s="13">
        <v>0</v>
      </c>
    </row>
    <row r="36" spans="1:113" ht="15.5" x14ac:dyDescent="0.3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70">
        <v>-0.21157626078908143</v>
      </c>
      <c r="DH36" s="46"/>
      <c r="DI36" s="46"/>
    </row>
    <row r="37" spans="1:113" ht="15.5" x14ac:dyDescent="0.3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  <c r="DG37" s="13">
        <v>-0.21157626078908143</v>
      </c>
    </row>
    <row r="38" spans="1:113" ht="15.5" x14ac:dyDescent="0.3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70">
        <v>1.0710785853861315</v>
      </c>
      <c r="DH38" s="46"/>
      <c r="DI38" s="46"/>
    </row>
    <row r="39" spans="1:113" ht="15.5" x14ac:dyDescent="0.3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  <c r="DG39" s="13">
        <v>1.1056469155066306</v>
      </c>
    </row>
    <row r="40" spans="1:113" ht="15.5" x14ac:dyDescent="0.3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  <c r="DG40" s="13">
        <v>1.3302241717695784</v>
      </c>
    </row>
    <row r="41" spans="1:113" ht="15.5" x14ac:dyDescent="0.3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</row>
    <row r="42" spans="1:113" ht="15.5" x14ac:dyDescent="0.3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70">
        <v>0.5157628253940949</v>
      </c>
      <c r="DH42" s="46"/>
      <c r="DI42" s="46"/>
    </row>
    <row r="43" spans="1:113" ht="15.5" x14ac:dyDescent="0.3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  <c r="DG43" s="13">
        <v>0.5157628253940949</v>
      </c>
    </row>
    <row r="44" spans="1:113" ht="15.5" x14ac:dyDescent="0.3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70">
        <v>2.0822817454308362</v>
      </c>
      <c r="DH44" s="46"/>
      <c r="DI44" s="46"/>
    </row>
    <row r="45" spans="1:113" ht="15.5" x14ac:dyDescent="0.3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  <c r="DG45" s="13">
        <v>2.0822817454308362</v>
      </c>
    </row>
    <row r="46" spans="1:113" ht="15.5" x14ac:dyDescent="0.3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70">
        <v>2.640571991444518</v>
      </c>
      <c r="DH46" s="46"/>
      <c r="DI46" s="46"/>
    </row>
    <row r="47" spans="1:113" ht="15.5" x14ac:dyDescent="0.3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  <c r="DG47" s="13">
        <v>0</v>
      </c>
    </row>
    <row r="48" spans="1:113" ht="15.5" x14ac:dyDescent="0.3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  <c r="DG48" s="13">
        <v>2.7262827183746285</v>
      </c>
    </row>
    <row r="49" spans="1:113" ht="15.5" x14ac:dyDescent="0.3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2.1435708925948926</v>
      </c>
    </row>
    <row r="50" spans="1:113" ht="15.5" x14ac:dyDescent="0.3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70">
        <v>0.30264474387409201</v>
      </c>
      <c r="DH50" s="46"/>
      <c r="DI50" s="46"/>
    </row>
    <row r="51" spans="1:113" ht="15.5" x14ac:dyDescent="0.3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  <c r="DG51" s="13">
        <v>0.30264474387409201</v>
      </c>
    </row>
    <row r="52" spans="1:113" ht="15.5" x14ac:dyDescent="0.3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70">
        <v>-0.37303115384162977</v>
      </c>
      <c r="DH52" s="46"/>
      <c r="DI52" s="46"/>
    </row>
    <row r="53" spans="1:113" ht="15.5" x14ac:dyDescent="0.3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  <c r="DG53" s="13">
        <v>-0.37303115384162977</v>
      </c>
    </row>
    <row r="54" spans="1:113" ht="15.5" x14ac:dyDescent="0.3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70">
        <v>-8.8594335883929176E-3</v>
      </c>
      <c r="DH54" s="46"/>
      <c r="DI54" s="46"/>
    </row>
    <row r="55" spans="1:113" ht="15.5" x14ac:dyDescent="0.3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</row>
    <row r="56" spans="1:113" ht="15.5" x14ac:dyDescent="0.3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  <c r="DG56" s="13">
        <v>-1.5524917539011529E-2</v>
      </c>
    </row>
    <row r="57" spans="1:113" ht="15.5" x14ac:dyDescent="0.3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70">
        <v>0.56265231857464126</v>
      </c>
      <c r="DH57" s="46"/>
      <c r="DI57" s="46"/>
    </row>
    <row r="58" spans="1:113" ht="15.5" x14ac:dyDescent="0.3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  <c r="DG58" s="13">
        <v>0.56265231857464126</v>
      </c>
    </row>
    <row r="59" spans="1:113" ht="15.5" x14ac:dyDescent="0.3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</row>
    <row r="60" spans="1:113" ht="15.5" x14ac:dyDescent="0.3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</row>
    <row r="61" spans="1:113" ht="15.5" x14ac:dyDescent="0.3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2"/>
      <c r="DI61" s="62"/>
    </row>
    <row r="62" spans="1:113" ht="15.5" x14ac:dyDescent="0.3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5">
        <v>46113</v>
      </c>
      <c r="DH62" s="6"/>
      <c r="DI62" s="6"/>
    </row>
    <row r="63" spans="1:113" ht="15.5" x14ac:dyDescent="0.3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6"/>
      <c r="DI63" s="26"/>
    </row>
    <row r="64" spans="1:113" ht="15.5" x14ac:dyDescent="0.3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70">
        <v>-0.37074554579442642</v>
      </c>
      <c r="DH64" s="46"/>
      <c r="DI64" s="46"/>
    </row>
    <row r="65" spans="1:113" ht="15.5" x14ac:dyDescent="0.3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  <c r="DG65" s="13">
        <v>-0.37074554579442642</v>
      </c>
    </row>
    <row r="66" spans="1:113" ht="15.5" x14ac:dyDescent="0.3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71">
        <v>-0.2257491362266717</v>
      </c>
      <c r="DH66" s="46"/>
      <c r="DI66" s="46"/>
    </row>
    <row r="67" spans="1:113" ht="15.5" x14ac:dyDescent="0.3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  <c r="DG67" s="13">
        <v>-0.2257491362266717</v>
      </c>
    </row>
    <row r="68" spans="1:113" ht="15.5" x14ac:dyDescent="0.3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71">
        <v>0</v>
      </c>
      <c r="DH68" s="46"/>
      <c r="DI68" s="46"/>
    </row>
    <row r="69" spans="1:113" ht="15.5" x14ac:dyDescent="0.3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</row>
    <row r="70" spans="1:113" ht="15.5" x14ac:dyDescent="0.3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71">
        <v>0</v>
      </c>
      <c r="DH70" s="46"/>
      <c r="DI70" s="46"/>
    </row>
    <row r="71" spans="1:113" ht="15.5" x14ac:dyDescent="0.3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</row>
    <row r="72" spans="1:113" ht="15.5" x14ac:dyDescent="0.3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</row>
    <row r="73" spans="1:113" ht="15.5" x14ac:dyDescent="0.3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</row>
    <row r="74" spans="1:113" ht="15.5" x14ac:dyDescent="0.3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</row>
    <row r="75" spans="1:113" ht="15.5" x14ac:dyDescent="0.3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</row>
    <row r="76" spans="1:113" ht="15.5" x14ac:dyDescent="0.3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</row>
    <row r="77" spans="1:113" ht="15.5" x14ac:dyDescent="0.35">
      <c r="E77" s="69">
        <f>E70+E68+E66+E64+E57+E54+E52+E50+E46+E44+E42+E38+E36+E32+E30+E28+E26+E23+E21+E16+E3</f>
        <v>1000.0000000000002</v>
      </c>
    </row>
    <row r="78" spans="1:113" ht="15.5" x14ac:dyDescent="0.35">
      <c r="E78" s="69"/>
    </row>
    <row r="79" spans="1:113" ht="15.5" x14ac:dyDescent="0.35">
      <c r="E79" s="69"/>
    </row>
    <row r="80" spans="1:113" ht="15.5" x14ac:dyDescent="0.3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I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2026-05-29T07:47:14Z</dcterms:modified>
</cp:coreProperties>
</file>